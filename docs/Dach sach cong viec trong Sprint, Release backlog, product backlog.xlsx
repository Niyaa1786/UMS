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Objects="none"/>
  <mc:AlternateContent xmlns:mc="http://schemas.openxmlformats.org/markup-compatibility/2006">
    <mc:Choice Requires="x15">
      <x15ac:absPath xmlns:x15ac="http://schemas.microsoft.com/office/spreadsheetml/2010/11/ac" url="C:\Users\big\Desktop\"/>
    </mc:Choice>
  </mc:AlternateContent>
  <xr:revisionPtr revIDLastSave="0" documentId="13_ncr:1_{4FE5B084-5DB9-459B-97B3-4A99C4583A91}" xr6:coauthVersionLast="47" xr6:coauthVersionMax="47" xr10:uidLastSave="{00000000-0000-0000-0000-000000000000}"/>
  <bookViews>
    <workbookView xWindow="-120" yWindow="-120" windowWidth="29040" windowHeight="15720" xr2:uid="{00000000-000D-0000-FFFF-FFFF00000000}"/>
  </bookViews>
  <sheets>
    <sheet name="Sprint Backlog" sheetId="1" r:id="rId1"/>
    <sheet name="Release Backlog" sheetId="3" r:id="rId2"/>
    <sheet name="Product Backlog" sheetId="2" r:id="rId3"/>
    <sheet name="PPS" sheetId="10" r:id="rId4"/>
    <sheet name="ED" sheetId="8" r:id="rId5"/>
    <sheet name="RULE" sheetId="4" r:id="rId6"/>
  </sheets>
  <definedNames>
    <definedName name="_xlnm._FilterDatabase" localSheetId="3" hidden="1">PPS!$A$4:$L$91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1" i="10" l="1"/>
  <c r="H101" i="10"/>
  <c r="I101" i="10"/>
  <c r="K101" i="10" s="1"/>
  <c r="H87" i="10"/>
  <c r="H88" i="10"/>
  <c r="H89" i="10"/>
  <c r="H90" i="10"/>
  <c r="H91" i="10"/>
  <c r="H92" i="10"/>
  <c r="H93" i="10"/>
  <c r="H94" i="10"/>
  <c r="H95" i="10"/>
  <c r="H96" i="10"/>
  <c r="H86" i="10"/>
  <c r="H45" i="10"/>
  <c r="H46" i="10"/>
  <c r="H47" i="10"/>
  <c r="H48" i="10"/>
  <c r="H49" i="10"/>
  <c r="H104" i="10"/>
  <c r="H103" i="10"/>
  <c r="H50" i="10"/>
  <c r="H51" i="10"/>
  <c r="H52" i="10"/>
  <c r="H53" i="10"/>
  <c r="H54" i="10"/>
  <c r="H105" i="10"/>
  <c r="H55" i="10"/>
  <c r="H56" i="10"/>
  <c r="H57" i="10"/>
  <c r="H58" i="10"/>
  <c r="H59" i="10"/>
  <c r="H60" i="10"/>
  <c r="H61" i="10"/>
  <c r="H108" i="10"/>
  <c r="H62" i="10"/>
  <c r="H63" i="10"/>
  <c r="H64" i="10"/>
  <c r="H65" i="10"/>
  <c r="H66" i="10"/>
  <c r="H67" i="10"/>
  <c r="H68" i="10"/>
  <c r="H69" i="10"/>
  <c r="H70" i="10"/>
  <c r="H71" i="10"/>
  <c r="H72" i="10"/>
  <c r="H73" i="10"/>
  <c r="H109" i="10"/>
  <c r="H74" i="10"/>
  <c r="H75" i="10"/>
  <c r="H76" i="10"/>
  <c r="H106" i="10"/>
  <c r="H107" i="10"/>
  <c r="H77" i="10"/>
  <c r="H78" i="10"/>
  <c r="H79" i="10"/>
  <c r="H80" i="10"/>
  <c r="H81" i="10"/>
  <c r="H82" i="10"/>
  <c r="H83" i="10"/>
  <c r="H44" i="10"/>
  <c r="H7" i="10"/>
  <c r="H8" i="10"/>
  <c r="H102" i="10"/>
  <c r="H9" i="10"/>
  <c r="H10" i="10"/>
  <c r="H11" i="10"/>
  <c r="H99" i="10"/>
  <c r="H12" i="10"/>
  <c r="H13" i="10"/>
  <c r="H14" i="10"/>
  <c r="H15" i="10"/>
  <c r="H16" i="10"/>
  <c r="H17" i="10"/>
  <c r="H18" i="10"/>
  <c r="H19" i="10"/>
  <c r="H100" i="10"/>
  <c r="H20" i="10"/>
  <c r="H21" i="10"/>
  <c r="H22" i="10"/>
  <c r="H23" i="10"/>
  <c r="H24" i="10"/>
  <c r="H25" i="10"/>
  <c r="H26" i="10"/>
  <c r="H27" i="10"/>
  <c r="H28" i="10"/>
  <c r="H29" i="10"/>
  <c r="H30" i="10"/>
  <c r="H31" i="10"/>
  <c r="H32" i="10"/>
  <c r="H33" i="10"/>
  <c r="H34" i="10"/>
  <c r="H35" i="10"/>
  <c r="H36" i="10"/>
  <c r="H37" i="10"/>
  <c r="H38" i="10"/>
  <c r="H39" i="10"/>
  <c r="H40" i="10"/>
  <c r="H41" i="10"/>
  <c r="H97" i="10"/>
  <c r="H98" i="10"/>
  <c r="H6" i="10"/>
  <c r="G87" i="10"/>
  <c r="G88" i="10"/>
  <c r="G89" i="10"/>
  <c r="G90" i="10"/>
  <c r="G91" i="10"/>
  <c r="G92" i="10"/>
  <c r="I92" i="10" s="1"/>
  <c r="K92" i="10" s="1"/>
  <c r="G93" i="10"/>
  <c r="I93" i="10" s="1"/>
  <c r="K93" i="10" s="1"/>
  <c r="G94" i="10"/>
  <c r="G95" i="10"/>
  <c r="G96" i="10"/>
  <c r="G86" i="10"/>
  <c r="G83" i="10"/>
  <c r="G45" i="10"/>
  <c r="G46" i="10"/>
  <c r="G47" i="10"/>
  <c r="G48" i="10"/>
  <c r="I48" i="10" s="1"/>
  <c r="K48" i="10" s="1"/>
  <c r="G49" i="10"/>
  <c r="G104" i="10"/>
  <c r="G103" i="10"/>
  <c r="G50" i="10"/>
  <c r="G51" i="10"/>
  <c r="G52" i="10"/>
  <c r="G53" i="10"/>
  <c r="G54" i="10"/>
  <c r="I54" i="10" s="1"/>
  <c r="K54" i="10" s="1"/>
  <c r="G105" i="10"/>
  <c r="G55" i="10"/>
  <c r="G56" i="10"/>
  <c r="G57" i="10"/>
  <c r="G58" i="10"/>
  <c r="G59" i="10"/>
  <c r="G60" i="10"/>
  <c r="G61" i="10"/>
  <c r="I61" i="10" s="1"/>
  <c r="K61" i="10" s="1"/>
  <c r="G108" i="10"/>
  <c r="G62" i="10"/>
  <c r="G63" i="10"/>
  <c r="G64" i="10"/>
  <c r="G65" i="10"/>
  <c r="G66" i="10"/>
  <c r="G67" i="10"/>
  <c r="G68" i="10"/>
  <c r="I68" i="10" s="1"/>
  <c r="K68" i="10" s="1"/>
  <c r="G69" i="10"/>
  <c r="G70" i="10"/>
  <c r="G71" i="10"/>
  <c r="G72" i="10"/>
  <c r="G73" i="10"/>
  <c r="G109" i="10"/>
  <c r="G74" i="10"/>
  <c r="G75" i="10"/>
  <c r="I75" i="10" s="1"/>
  <c r="K75" i="10" s="1"/>
  <c r="G76" i="10"/>
  <c r="G106" i="10"/>
  <c r="G107" i="10"/>
  <c r="G77" i="10"/>
  <c r="G78" i="10"/>
  <c r="G79" i="10"/>
  <c r="G80" i="10"/>
  <c r="G81" i="10"/>
  <c r="I81" i="10" s="1"/>
  <c r="K81" i="10" s="1"/>
  <c r="G82" i="10"/>
  <c r="G44" i="10"/>
  <c r="G7" i="10"/>
  <c r="G8" i="10"/>
  <c r="G102" i="10"/>
  <c r="G9" i="10"/>
  <c r="I9" i="10" s="1"/>
  <c r="K9" i="10" s="1"/>
  <c r="G10" i="10"/>
  <c r="I10" i="10" s="1"/>
  <c r="K10" i="10" s="1"/>
  <c r="G11" i="10"/>
  <c r="G99" i="10"/>
  <c r="G12" i="10"/>
  <c r="G13" i="10"/>
  <c r="G14" i="10"/>
  <c r="G15" i="10"/>
  <c r="G16" i="10"/>
  <c r="I16" i="10" s="1"/>
  <c r="K16" i="10" s="1"/>
  <c r="G17" i="10"/>
  <c r="I17" i="10" s="1"/>
  <c r="K17" i="10" s="1"/>
  <c r="G18" i="10"/>
  <c r="G19" i="10"/>
  <c r="G100" i="10"/>
  <c r="G20" i="10"/>
  <c r="G21" i="10"/>
  <c r="G22" i="10"/>
  <c r="G23" i="10"/>
  <c r="I23" i="10" s="1"/>
  <c r="K23" i="10" s="1"/>
  <c r="G24" i="10"/>
  <c r="I24" i="10" s="1"/>
  <c r="K24" i="10" s="1"/>
  <c r="G25" i="10"/>
  <c r="G26" i="10"/>
  <c r="G27" i="10"/>
  <c r="G28" i="10"/>
  <c r="G29" i="10"/>
  <c r="G30" i="10"/>
  <c r="G31" i="10"/>
  <c r="I31" i="10" s="1"/>
  <c r="K31" i="10" s="1"/>
  <c r="G32" i="10"/>
  <c r="I32" i="10" s="1"/>
  <c r="K32" i="10" s="1"/>
  <c r="G33" i="10"/>
  <c r="G34" i="10"/>
  <c r="G35" i="10"/>
  <c r="G36" i="10"/>
  <c r="G37" i="10"/>
  <c r="G38" i="10"/>
  <c r="G39" i="10"/>
  <c r="I39" i="10" s="1"/>
  <c r="K39" i="10" s="1"/>
  <c r="G40" i="10"/>
  <c r="I40" i="10" s="1"/>
  <c r="K40" i="10" s="1"/>
  <c r="G41" i="10"/>
  <c r="G97" i="10"/>
  <c r="G98" i="10"/>
  <c r="G6" i="10"/>
  <c r="I22" i="10" l="1"/>
  <c r="K22" i="10" s="1"/>
  <c r="I15" i="10"/>
  <c r="K15" i="10" s="1"/>
  <c r="I91" i="10"/>
  <c r="K91" i="10" s="1"/>
  <c r="I94" i="10"/>
  <c r="K94" i="10" s="1"/>
  <c r="I73" i="10"/>
  <c r="K73" i="10" s="1"/>
  <c r="I58" i="10"/>
  <c r="K58" i="10" s="1"/>
  <c r="I78" i="10"/>
  <c r="K78" i="10" s="1"/>
  <c r="I90" i="10"/>
  <c r="K90" i="10" s="1"/>
  <c r="I65" i="10"/>
  <c r="K65" i="10" s="1"/>
  <c r="I6" i="10"/>
  <c r="K6" i="10" s="1"/>
  <c r="I86" i="10"/>
  <c r="K86" i="10" s="1"/>
  <c r="I89" i="10"/>
  <c r="K89" i="10" s="1"/>
  <c r="I103" i="10"/>
  <c r="K103" i="10" s="1"/>
  <c r="I34" i="10"/>
  <c r="K34" i="10" s="1"/>
  <c r="I96" i="10"/>
  <c r="K96" i="10" s="1"/>
  <c r="I88" i="10"/>
  <c r="K88" i="10" s="1"/>
  <c r="I41" i="10"/>
  <c r="K41" i="10" s="1"/>
  <c r="I33" i="10"/>
  <c r="K33" i="10" s="1"/>
  <c r="I25" i="10"/>
  <c r="K25" i="10" s="1"/>
  <c r="I18" i="10"/>
  <c r="K18" i="10" s="1"/>
  <c r="I11" i="10"/>
  <c r="K11" i="10" s="1"/>
  <c r="I95" i="10"/>
  <c r="K95" i="10" s="1"/>
  <c r="I87" i="10"/>
  <c r="K87" i="10" s="1"/>
  <c r="I71" i="10"/>
  <c r="K71" i="10" s="1"/>
  <c r="I63" i="10"/>
  <c r="K63" i="10" s="1"/>
  <c r="I56" i="10"/>
  <c r="K56" i="10" s="1"/>
  <c r="I107" i="10"/>
  <c r="K107" i="10" s="1"/>
  <c r="I44" i="10"/>
  <c r="K44" i="10" s="1"/>
  <c r="I83" i="10"/>
  <c r="K83" i="10" s="1"/>
  <c r="I106" i="10"/>
  <c r="K106" i="10" s="1"/>
  <c r="I70" i="10"/>
  <c r="K70" i="10" s="1"/>
  <c r="I62" i="10"/>
  <c r="K62" i="10" s="1"/>
  <c r="I55" i="10"/>
  <c r="K55" i="10" s="1"/>
  <c r="I104" i="10"/>
  <c r="K104" i="10" s="1"/>
  <c r="I82" i="10"/>
  <c r="K82" i="10" s="1"/>
  <c r="I76" i="10"/>
  <c r="K76" i="10" s="1"/>
  <c r="I69" i="10"/>
  <c r="K69" i="10" s="1"/>
  <c r="I108" i="10"/>
  <c r="K108" i="10" s="1"/>
  <c r="I105" i="10"/>
  <c r="K105" i="10" s="1"/>
  <c r="I49" i="10"/>
  <c r="K49" i="10" s="1"/>
  <c r="I51" i="10"/>
  <c r="K51" i="10" s="1"/>
  <c r="I45" i="10"/>
  <c r="K45" i="10" s="1"/>
  <c r="I79" i="10"/>
  <c r="K79" i="10" s="1"/>
  <c r="I109" i="10"/>
  <c r="K109" i="10" s="1"/>
  <c r="I66" i="10"/>
  <c r="K66" i="10" s="1"/>
  <c r="I59" i="10"/>
  <c r="K59" i="10" s="1"/>
  <c r="I52" i="10"/>
  <c r="K52" i="10" s="1"/>
  <c r="I46" i="10"/>
  <c r="K46" i="10" s="1"/>
  <c r="I77" i="10"/>
  <c r="K77" i="10" s="1"/>
  <c r="I72" i="10"/>
  <c r="K72" i="10" s="1"/>
  <c r="I64" i="10"/>
  <c r="K64" i="10" s="1"/>
  <c r="I57" i="10"/>
  <c r="K57" i="10" s="1"/>
  <c r="I50" i="10"/>
  <c r="K50" i="10" s="1"/>
  <c r="I80" i="10"/>
  <c r="K80" i="10" s="1"/>
  <c r="I74" i="10"/>
  <c r="K74" i="10" s="1"/>
  <c r="I67" i="10"/>
  <c r="K67" i="10" s="1"/>
  <c r="I60" i="10"/>
  <c r="K60" i="10" s="1"/>
  <c r="I53" i="10"/>
  <c r="K53" i="10" s="1"/>
  <c r="I47" i="10"/>
  <c r="K47" i="10" s="1"/>
  <c r="I38" i="10"/>
  <c r="K38" i="10" s="1"/>
  <c r="I29" i="10"/>
  <c r="K29" i="10" s="1"/>
  <c r="I102" i="10"/>
  <c r="K102" i="10" s="1"/>
  <c r="I30" i="10"/>
  <c r="K30" i="10" s="1"/>
  <c r="I37" i="10"/>
  <c r="K37" i="10" s="1"/>
  <c r="I14" i="10"/>
  <c r="K14" i="10" s="1"/>
  <c r="I36" i="10"/>
  <c r="K36" i="10" s="1"/>
  <c r="I28" i="10"/>
  <c r="K28" i="10" s="1"/>
  <c r="I20" i="10"/>
  <c r="K20" i="10" s="1"/>
  <c r="I8" i="10"/>
  <c r="K8" i="10" s="1"/>
  <c r="I21" i="10"/>
  <c r="K21" i="10" s="1"/>
  <c r="I13" i="10"/>
  <c r="K13" i="10" s="1"/>
  <c r="I35" i="10"/>
  <c r="K35" i="10" s="1"/>
  <c r="I27" i="10"/>
  <c r="K27" i="10" s="1"/>
  <c r="I100" i="10"/>
  <c r="K100" i="10" s="1"/>
  <c r="I12" i="10"/>
  <c r="K12" i="10" s="1"/>
  <c r="I7" i="10"/>
  <c r="K7" i="10" s="1"/>
  <c r="I26" i="10"/>
  <c r="K26" i="10" s="1"/>
  <c r="I19" i="10"/>
  <c r="K19" i="10" s="1"/>
  <c r="I99" i="10"/>
  <c r="K99" i="10" s="1"/>
  <c r="I98" i="10"/>
  <c r="K98" i="10" s="1"/>
  <c r="I97" i="10"/>
  <c r="K97" i="10" s="1"/>
  <c r="K84" i="10" l="1"/>
  <c r="K110" i="10"/>
  <c r="K42" i="10"/>
</calcChain>
</file>

<file path=xl/sharedStrings.xml><?xml version="1.0" encoding="utf-8"?>
<sst xmlns="http://schemas.openxmlformats.org/spreadsheetml/2006/main" count="2000" uniqueCount="935">
  <si>
    <t>Sprint Back Log</t>
  </si>
  <si>
    <t>Task ID</t>
  </si>
  <si>
    <t>Task</t>
  </si>
  <si>
    <t>Description</t>
  </si>
  <si>
    <t>Story ID</t>
  </si>
  <si>
    <t>Backlog ID</t>
  </si>
  <si>
    <t>Sprint#</t>
  </si>
  <si>
    <t>State</t>
  </si>
  <si>
    <t>Estimate Time
(Hours)</t>
  </si>
  <si>
    <t>Assign to</t>
  </si>
  <si>
    <t>Note</t>
  </si>
  <si>
    <t>T01</t>
  </si>
  <si>
    <t>PB01</t>
  </si>
  <si>
    <t>New</t>
  </si>
  <si>
    <t>T02</t>
  </si>
  <si>
    <t>T03</t>
  </si>
  <si>
    <t>RQ04</t>
  </si>
  <si>
    <t>T04</t>
  </si>
  <si>
    <t>T05</t>
  </si>
  <si>
    <t>RQ05</t>
  </si>
  <si>
    <t>T06</t>
  </si>
  <si>
    <t>RQ10</t>
  </si>
  <si>
    <t>T07</t>
  </si>
  <si>
    <t>T08</t>
  </si>
  <si>
    <t>T09</t>
  </si>
  <si>
    <t>T10</t>
  </si>
  <si>
    <t>T11</t>
  </si>
  <si>
    <t>PB02</t>
  </si>
  <si>
    <t>T12</t>
  </si>
  <si>
    <t>T13</t>
  </si>
  <si>
    <t>T14</t>
  </si>
  <si>
    <t>T15</t>
  </si>
  <si>
    <t>T16</t>
  </si>
  <si>
    <t>T17</t>
  </si>
  <si>
    <t>T18</t>
  </si>
  <si>
    <t>RQ07</t>
  </si>
  <si>
    <t>T19</t>
  </si>
  <si>
    <t>T20</t>
  </si>
  <si>
    <t>T21</t>
  </si>
  <si>
    <t>T22</t>
  </si>
  <si>
    <t>T23</t>
  </si>
  <si>
    <t>PB03</t>
  </si>
  <si>
    <t>T24</t>
  </si>
  <si>
    <t>T25</t>
  </si>
  <si>
    <t>RQ08</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</si>
  <si>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</si>
  <si>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</si>
  <si>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</si>
  <si>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</si>
  <si>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</si>
  <si>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</si>
  <si>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</si>
  <si>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</si>
  <si>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</si>
  <si>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</si>
  <si>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</si>
  <si>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</si>
  <si>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</si>
  <si>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</si>
  <si>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</si>
  <si>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</si>
  <si>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</si>
  <si>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</si>
  <si>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</si>
  <si>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</si>
  <si>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</si>
  <si>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</si>
  <si>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</si>
  <si>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</si>
  <si>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</si>
  <si>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</si>
  <si>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</si>
  <si>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</si>
  <si>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</si>
  <si>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</si>
  <si>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</si>
  <si>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</si>
  <si>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</si>
  <si>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</si>
  <si>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ID</t>
  </si>
  <si>
    <t>STORY / FEATURE / REQUEST</t>
  </si>
  <si>
    <t>Priority</t>
  </si>
  <si>
    <t>Business Value</t>
  </si>
  <si>
    <t>Acceptance Criteria</t>
  </si>
  <si>
    <t>As a/an
[User role]</t>
  </si>
  <si>
    <t xml:space="preserve">I want to 
[Goal]  </t>
  </si>
  <si>
    <t xml:space="preserve">So that
[reason] </t>
  </si>
  <si>
    <t>RQ01</t>
  </si>
  <si>
    <t>Medium</t>
  </si>
  <si>
    <t>RQ02</t>
  </si>
  <si>
    <t>RQ03</t>
  </si>
  <si>
    <t>High</t>
  </si>
  <si>
    <t>RQ06</t>
  </si>
  <si>
    <t>RQ09</t>
  </si>
  <si>
    <t>RQ11</t>
  </si>
  <si>
    <t>Low</t>
  </si>
  <si>
    <t>Backlog</t>
  </si>
  <si>
    <r>
      <rPr>
        <b/>
        <sz val="10"/>
        <color rgb="FF000000"/>
        <rFont val="Verdana"/>
        <family val="2"/>
      </rPr>
      <t>Title:</t>
    </r>
    <r>
      <rPr>
        <sz val="10"/>
        <color rgb="FF000000"/>
        <rFont val="Verdana"/>
        <family val="2"/>
      </rPr>
      <t> Brief description of the PBI. The title of a PBI should represent the intent of the PBI.</t>
    </r>
  </si>
  <si>
    <r>
      <rPr>
        <b/>
        <sz val="10"/>
        <color rgb="FF000000"/>
        <rFont val="Verdana"/>
        <family val="2"/>
      </rPr>
      <t>Iteration:</t>
    </r>
    <r>
      <rPr>
        <sz val="10"/>
        <color rgb="FF000000"/>
        <rFont val="Verdana"/>
        <family val="2"/>
      </rPr>
      <t> Indicate the sprint in which a PBI is implemented. When you first enter a PBI into TFS, iteration defaults to the current project, meaning that it's not yet scheduled for a sprint. During the sprint planning meeting, when the team commits to implementing a PBI, you set this field to the iteration representing the sprint.</t>
    </r>
  </si>
  <si>
    <r>
      <rPr>
        <b/>
        <sz val="10"/>
        <color rgb="FF000000"/>
        <rFont val="Verdana"/>
        <family val="2"/>
      </rPr>
      <t>Assigned To:</t>
    </r>
    <r>
      <rPr>
        <sz val="10"/>
        <color rgb="FF000000"/>
        <rFont val="Verdana"/>
        <family val="2"/>
      </rPr>
      <t> Indicates the owner of a PBI. The product owner who's assigned to the PBI is responsible for answering questions and providing details about the PBI. This person is also responsible for verifying that the PBI meets acceptance criteria before the team finishes the sprint. When a PBI is first created, the Assigned To field defaults to the user entering the PBI, so it's best to set it to the product owner at that point.</t>
    </r>
  </si>
  <si>
    <r>
      <rPr>
        <b/>
        <sz val="10"/>
        <color rgb="FF000000"/>
        <rFont val="Verdana"/>
        <family val="2"/>
      </rPr>
      <t>State:</t>
    </r>
    <r>
      <rPr>
        <sz val="10"/>
        <color rgb="FF000000"/>
        <rFont val="Verdana"/>
        <family val="2"/>
      </rPr>
      <t> Use the State field to track the current state of a PBI.</t>
    </r>
  </si>
  <si>
    <r>
      <rPr>
        <b/>
        <sz val="10"/>
        <color rgb="FF000000"/>
        <rFont val="Verdana"/>
        <family val="2"/>
      </rPr>
      <t>New:</t>
    </r>
    <r>
      <rPr>
        <sz val="10"/>
        <color rgb="FF000000"/>
        <rFont val="Verdana"/>
        <family val="2"/>
      </rPr>
      <t> The PBI is entered into TFS. It may be just the initial text of a user story, or it may be fully defined with test cases and acceptance criteria. </t>
    </r>
  </si>
  <si>
    <r>
      <rPr>
        <b/>
        <sz val="10"/>
        <color rgb="FF000000"/>
        <rFont val="Verdana"/>
        <family val="2"/>
      </rPr>
      <t>Approved:</t>
    </r>
    <r>
      <rPr>
        <sz val="10"/>
        <color rgb="FF000000"/>
        <rFont val="Verdana"/>
        <family val="2"/>
      </rPr>
      <t> The PBI has been approved by the product owner and is a candidate to be assigned to a sprint at the sprint planning meeting.</t>
    </r>
  </si>
  <si>
    <r>
      <rPr>
        <b/>
        <sz val="10"/>
        <color rgb="FF000000"/>
        <rFont val="Verdana"/>
        <family val="2"/>
      </rPr>
      <t>Committed:</t>
    </r>
    <r>
      <rPr>
        <sz val="10"/>
        <color rgb="FF000000"/>
        <rFont val="Verdana"/>
        <family val="2"/>
      </rPr>
      <t> The PBI has been assigned to a sprint, and the team has committed to completing it.</t>
    </r>
  </si>
  <si>
    <r>
      <rPr>
        <b/>
        <sz val="10"/>
        <color rgb="FF000000"/>
        <rFont val="Verdana"/>
        <family val="2"/>
      </rPr>
      <t>Removed:</t>
    </r>
    <r>
      <rPr>
        <sz val="10"/>
        <color rgb="FF000000"/>
        <rFont val="Verdana"/>
        <family val="2"/>
      </rPr>
      <t> The PBI is no longer needed. This is useful when you're pruning the backlog to remove duplicates, to consolidate similar PBIs, or to simply remove the PBIs that are such low priority that they will never be built.</t>
    </r>
  </si>
  <si>
    <r>
      <rPr>
        <b/>
        <sz val="10"/>
        <color rgb="FF000000"/>
        <rFont val="Verdana"/>
        <family val="2"/>
      </rPr>
      <t>Done:</t>
    </r>
    <r>
      <rPr>
        <sz val="10"/>
        <color rgb="FF000000"/>
        <rFont val="Verdana"/>
        <family val="2"/>
      </rPr>
      <t> The PBI is complete, and the product owner has tested and verified it.</t>
    </r>
  </si>
  <si>
    <r>
      <rPr>
        <b/>
        <sz val="10"/>
        <color rgb="FF000000"/>
        <rFont val="Verdana"/>
        <family val="2"/>
      </rPr>
      <t>Reason:</t>
    </r>
    <r>
      <rPr>
        <sz val="10"/>
        <color rgb="FF000000"/>
        <rFont val="Verdana"/>
        <family val="2"/>
      </rPr>
      <t> Reason is a read - only field that is predefined based on the state and transition of the PBI.</t>
    </r>
  </si>
  <si>
    <t>New Backlog Item : The PBI was just entered but not yet prioritized or estimated.</t>
  </si>
  <si>
    <t>Reconsidering Backlog Item : The item had been removed but was reconsidered and is now back in the backlog.</t>
  </si>
  <si>
    <t>Approved</t>
  </si>
  <si>
    <t>Approved by the Product Owner : The PBI was approved by the product owner and is now ready to be included in a sprint.</t>
  </si>
  <si>
    <t>Work Stopped : The PBI had been committed to a sprint, but the team decided to stop work on it and put it back in the backlog for future sprint.</t>
  </si>
  <si>
    <t>Committed : Commitment Made by the Team : The team has committed to implement the PBI in a sprint.</t>
  </si>
  <si>
    <t>Additional Work Found: The PBI was previously considered done, but more work was found, so it's back in the backlog.</t>
  </si>
  <si>
    <t>Removed: The PBI was removed from the backlog.</t>
  </si>
  <si>
    <t>Done: The work on the PBI is finished.</t>
  </si>
  <si>
    <r>
      <rPr>
        <b/>
        <sz val="10"/>
        <color rgb="FF000000"/>
        <rFont val="Verdana"/>
        <family val="2"/>
      </rPr>
      <t>Backlog Priority:</t>
    </r>
    <r>
      <rPr>
        <sz val="10"/>
        <color rgb="FF000000"/>
        <rFont val="Verdana"/>
        <family val="2"/>
      </rPr>
      <t> Used to determine the position of the PBI on the product backlog. New PBIs default to a backlog priority of 1,000. This field represents an item's location in the backlog, not its business value. It indicates when the PBI should be scheduled, relative to other items on the list.</t>
    </r>
  </si>
  <si>
    <r>
      <rPr>
        <b/>
        <sz val="10"/>
        <color rgb="FF000000"/>
        <rFont val="Verdana"/>
        <family val="2"/>
      </rPr>
      <t>Effort:</t>
    </r>
    <r>
      <rPr>
        <sz val="10"/>
        <color rgb="FF000000"/>
        <rFont val="Verdana"/>
        <family val="2"/>
      </rPr>
      <t> Used to track the estimated effort required to implement a PBI, relative to other PBIs in the release. Relative is the operative word here, as the effort is not in terms of hours or days. Rather, it's a just a number used to compare the relative effort required for PBIs.</t>
    </r>
  </si>
  <si>
    <r>
      <rPr>
        <b/>
        <sz val="10"/>
        <color rgb="FF000000"/>
        <rFont val="Verdana"/>
        <family val="2"/>
      </rPr>
      <t>Business Value:</t>
    </r>
    <r>
      <rPr>
        <sz val="10"/>
        <color rgb="FF000000"/>
        <rFont val="Verdana"/>
        <family val="2"/>
      </rPr>
      <t> Used to track the amount of business value delivered by a PBI. You should choose a number between 1 and 100 to represent the amount of business value that implementing the PBI will deliver to your customers. Higher numbers imply greater business value. A PBI with a low business value and a high effort estimate probably won't get scheduled into a sprint and will remain on the product backlog.</t>
    </r>
  </si>
  <si>
    <r>
      <rPr>
        <b/>
        <sz val="10"/>
        <color rgb="FF000000"/>
        <rFont val="Verdana"/>
        <family val="2"/>
      </rPr>
      <t>Description:</t>
    </r>
    <r>
      <rPr>
        <sz val="10"/>
        <color rgb="FF000000"/>
        <rFont val="Verdana"/>
        <family val="2"/>
      </rPr>
      <t> Used to provide a detailed description of a PBI. This is where the product owner describes what the feature does and who needs it. If you're defining PBIs via user stories, then this is the written record of the feature.</t>
    </r>
  </si>
  <si>
    <r>
      <rPr>
        <b/>
        <sz val="10"/>
        <color rgb="FF000000"/>
        <rFont val="Verdana"/>
        <family val="2"/>
      </rPr>
      <t>Acceptance Criteria:</t>
    </r>
    <r>
      <rPr>
        <sz val="10"/>
        <color rgb="FF000000"/>
        <rFont val="Verdana"/>
        <family val="2"/>
      </rPr>
      <t> Used to provide a bulleted list of criteria a PBI must meet before it will be accepted as done. The product owner defines the acceptance criteria either when initially creating the PBI or when the PBI is added to a sprint. It's critical to have sufficient information in this field for a PBI because these are the criteria against which the team will build the feature during the sprint.</t>
    </r>
  </si>
  <si>
    <t>Conclusion</t>
  </si>
  <si>
    <t>In this article, we have seen that the product backlog is the list of requirements for the system. It is the central focus of a Scrum team, representing the features that the team will build into the product. The product owner defines and prioritizes the PBIs. Each PBI stores the details of one product feature. It describes its business benefit, test cases, and acceptance criteria.</t>
  </si>
  <si>
    <t>RQ12</t>
  </si>
  <si>
    <t>RQ13</t>
  </si>
  <si>
    <t>RQ14</t>
  </si>
  <si>
    <t>RQ15</t>
  </si>
  <si>
    <t>RQ16</t>
  </si>
  <si>
    <t>RQ17</t>
  </si>
  <si>
    <t>RQ18</t>
  </si>
  <si>
    <t>RQ19</t>
  </si>
  <si>
    <t>RQ20</t>
  </si>
  <si>
    <t>RQ21</t>
  </si>
  <si>
    <t>RQ22</t>
  </si>
  <si>
    <t>RQ23</t>
  </si>
  <si>
    <t>RQ24</t>
  </si>
  <si>
    <t>RQ25</t>
  </si>
  <si>
    <t>RQ26</t>
  </si>
  <si>
    <t>RQ27</t>
  </si>
  <si>
    <t>RQ28</t>
  </si>
  <si>
    <t>RQ29</t>
  </si>
  <si>
    <t>RQ30</t>
  </si>
  <si>
    <t>RQ31</t>
  </si>
  <si>
    <t>RQ32</t>
  </si>
  <si>
    <t>RQ33</t>
  </si>
  <si>
    <t>RQ34</t>
  </si>
  <si>
    <t>RQ35</t>
  </si>
  <si>
    <t>RQ36</t>
  </si>
  <si>
    <t>RQ37</t>
  </si>
  <si>
    <t>RQ38</t>
  </si>
  <si>
    <t>RQ39</t>
  </si>
  <si>
    <t>RQ40</t>
  </si>
  <si>
    <t>RQ41</t>
  </si>
  <si>
    <t>RQ42</t>
  </si>
  <si>
    <t>RQ43</t>
  </si>
  <si>
    <t>RQ44</t>
  </si>
  <si>
    <t>RQ45</t>
  </si>
  <si>
    <t>RQ46</t>
  </si>
  <si>
    <t>RQ47</t>
  </si>
  <si>
    <t>RQ48</t>
  </si>
  <si>
    <t>RQ49</t>
  </si>
  <si>
    <t>RQ50</t>
  </si>
  <si>
    <t>RQ51</t>
  </si>
  <si>
    <t>RQ52</t>
  </si>
  <si>
    <t>RQ53</t>
  </si>
  <si>
    <t>RQ54</t>
  </si>
  <si>
    <t>RQ55</t>
  </si>
  <si>
    <t>RQ56</t>
  </si>
  <si>
    <t>RQ57</t>
  </si>
  <si>
    <t>RQ58</t>
  </si>
  <si>
    <t>RQ59</t>
  </si>
  <si>
    <t>RQ60</t>
  </si>
  <si>
    <t>RQ61</t>
  </si>
  <si>
    <t>RQ62</t>
  </si>
  <si>
    <t>RQ63</t>
  </si>
  <si>
    <t>RQ64</t>
  </si>
  <si>
    <t>RQ65</t>
  </si>
  <si>
    <t>RQ66</t>
  </si>
  <si>
    <t>RQ67</t>
  </si>
  <si>
    <t>RQ68</t>
  </si>
  <si>
    <t>RQ69</t>
  </si>
  <si>
    <t>RQ70</t>
  </si>
  <si>
    <t>RQ71</t>
  </si>
  <si>
    <t>RQ72</t>
  </si>
  <si>
    <t>RQ73</t>
  </si>
  <si>
    <t>RQ74</t>
  </si>
  <si>
    <t>RQ75</t>
  </si>
  <si>
    <t>RQ76</t>
  </si>
  <si>
    <t>RQ77</t>
  </si>
  <si>
    <t>RQ78</t>
  </si>
  <si>
    <t>RQ79</t>
  </si>
  <si>
    <t>RQ80</t>
  </si>
  <si>
    <t>RQ81</t>
  </si>
  <si>
    <t>RQ82</t>
  </si>
  <si>
    <t>RQ83</t>
  </si>
  <si>
    <t>RQ84</t>
  </si>
  <si>
    <t>RQ85</t>
  </si>
  <si>
    <t>RQ86</t>
  </si>
  <si>
    <t>RQ87</t>
  </si>
  <si>
    <t>RQ88</t>
  </si>
  <si>
    <t>RQ89</t>
  </si>
  <si>
    <t>RQ90</t>
  </si>
  <si>
    <t>RQ91</t>
  </si>
  <si>
    <t>RQ92</t>
  </si>
  <si>
    <t>RQ93</t>
  </si>
  <si>
    <t>RQ94</t>
  </si>
  <si>
    <t>RQ95</t>
  </si>
  <si>
    <t>RQ96</t>
  </si>
  <si>
    <t>RQ97</t>
  </si>
  <si>
    <t>RQ98</t>
  </si>
  <si>
    <t>RQ99</t>
  </si>
  <si>
    <t>RQ100</t>
  </si>
  <si>
    <t>Sinh viên</t>
  </si>
  <si>
    <t>Chỉnh sửa thông tin cá nhân.</t>
  </si>
  <si>
    <t>Cập nhật ảnh đại diện.</t>
  </si>
  <si>
    <t>Đổi mật khẩu.</t>
  </si>
  <si>
    <t>Xem thời khóa biểu.</t>
  </si>
  <si>
    <t>Xem điểm kiểm tra.</t>
  </si>
  <si>
    <t>Xem thông tin lớp học.</t>
  </si>
  <si>
    <t>Xem kết quả điểm danh.</t>
  </si>
  <si>
    <t>Xin nghỉ học trực tuyến.</t>
  </si>
  <si>
    <t>Tìm kiếm môn học.</t>
  </si>
  <si>
    <t>Xem nhận xét của giáo viên.</t>
  </si>
  <si>
    <t>Tải tài liệu học tập.</t>
  </si>
  <si>
    <t>Nộp bài tập trực tuyến.</t>
  </si>
  <si>
    <t>Xem lịch thi.</t>
  </si>
  <si>
    <t>Tìm kiếm thông báo.</t>
  </si>
  <si>
    <t>Xem học phí.</t>
  </si>
  <si>
    <t>Xem lịch sử thanh toán học phí.</t>
  </si>
  <si>
    <t>Đăng ký câu lạc bộ.</t>
  </si>
  <si>
    <t>Hủy đăng ký câu lạc bộ.</t>
  </si>
  <si>
    <t>Xem danh sách giáo viên.</t>
  </si>
  <si>
    <t>Gửi phản hồi cho giáo viên.</t>
  </si>
  <si>
    <t>Tìm kiếm bài tập theo môn học.</t>
  </si>
  <si>
    <t>Xem lịch hoạt động trường.</t>
  </si>
  <si>
    <t>Phân loại tài liệu theo môn học.</t>
  </si>
  <si>
    <t>Xem bảng xếp hạng học tập.</t>
  </si>
  <si>
    <t>Nhận thông báo khi giáo viên đăng bài mới.</t>
  </si>
  <si>
    <t>Cập nhật dữ liệu chính xác.</t>
  </si>
  <si>
    <t>Cá nhân hóa tài khoản.</t>
  </si>
  <si>
    <t>Bảo mật tài khoản.</t>
  </si>
  <si>
    <t>Biết lịch học mỗi ngày.</t>
  </si>
  <si>
    <t>Theo dõi kết quả học tập.</t>
  </si>
  <si>
    <t>Biết danh sách thành viên.</t>
  </si>
  <si>
    <t>Kiểm tra số buổi nghỉ.</t>
  </si>
  <si>
    <t>Tiết kiệm thời gian.</t>
  </si>
  <si>
    <t>Xem thông tin chi tiết.</t>
  </si>
  <si>
    <t>Cải thiện học lực.</t>
  </si>
  <si>
    <t>Ôn bài.</t>
  </si>
  <si>
    <t>Giáo viên chấm điểm.</t>
  </si>
  <si>
    <t>Chuẩn bị ôn tập.</t>
  </si>
  <si>
    <t>Xem tin quan trọng.</t>
  </si>
  <si>
    <t>Biết số tiền cần đóng.</t>
  </si>
  <si>
    <t>Kiểm tra giao dịch.</t>
  </si>
  <si>
    <t>Tham gia hoạt động ngoại khóa.</t>
  </si>
  <si>
    <t>Khi không còn tham gia.</t>
  </si>
  <si>
    <t>Liên hệ khi cần.</t>
  </si>
  <si>
    <t>Trao đổi học tập.</t>
  </si>
  <si>
    <t>Dễ ôn luyện.</t>
  </si>
  <si>
    <t>Tham gia sự kiện.</t>
  </si>
  <si>
    <t>Dễ tìm kiếm.</t>
  </si>
  <si>
    <t>Biết năng lực bản thân.</t>
  </si>
  <si>
    <t>Cập nhật kịp thời bài học.</t>
  </si>
  <si>
    <t>Giáo viên</t>
  </si>
  <si>
    <t>Nhập điểm cho sinh viên.</t>
  </si>
  <si>
    <t>Chỉnh sửa điểm khi nhập sai dữ liệu.</t>
  </si>
  <si>
    <t>Xem lịch giảng dạy.</t>
  </si>
  <si>
    <t>Điểm danh sinh viên.</t>
  </si>
  <si>
    <t>Xem thống kê điểm danh.</t>
  </si>
  <si>
    <t>Xem danh sách sinh viên.</t>
  </si>
  <si>
    <t>Đổi mật khẩu tài khoản.</t>
  </si>
  <si>
    <t>Tạo bài tập.</t>
  </si>
  <si>
    <t>Chỉnh sửa bài tập.</t>
  </si>
  <si>
    <t>Xóa bài tập cũ.</t>
  </si>
  <si>
    <t>Xem bài nộp của sinh viên.</t>
  </si>
  <si>
    <t>Nhận xét bài tập.</t>
  </si>
  <si>
    <t>Tìm kiếm sinh viên theo tên.</t>
  </si>
  <si>
    <t>Phân loại sinh viên theo học lực.</t>
  </si>
  <si>
    <t>Tạo thông báo lớp học.</t>
  </si>
  <si>
    <t>Xóa thông báo cũ.</t>
  </si>
  <si>
    <t>Tìm kiếm tài liệu giảng dạy.</t>
  </si>
  <si>
    <t>Tải tài liệu lên hệ thống.</t>
  </si>
  <si>
    <t>Phân loại bài tập theo môn học.</t>
  </si>
  <si>
    <t>Gửi cảnh báo sinh viên học yếu.</t>
  </si>
  <si>
    <t>Xem lịch sử chỉnh sửa điểm.</t>
  </si>
  <si>
    <t>Quản lý danh sách câu hỏi kiểm tra.</t>
  </si>
  <si>
    <t>Tạo đề thi trực tuyến.</t>
  </si>
  <si>
    <t>Xem báo cáo kết quả học tập của lớp.</t>
  </si>
  <si>
    <t>Đánh giá kết quả học tập.</t>
  </si>
  <si>
    <t>Sửa đổi sai sót trong quá trình nhập liệu.</t>
  </si>
  <si>
    <t>Sắp xếp công việc.</t>
  </si>
  <si>
    <t>Quản lý chuyên cần.</t>
  </si>
  <si>
    <t>Theo dõi tình hình lớp.</t>
  </si>
  <si>
    <t>Quản lý lớp.</t>
  </si>
  <si>
    <t>Tăng bảo mật.</t>
  </si>
  <si>
    <t>Giao cho sinh viên.</t>
  </si>
  <si>
    <t>Cập nhật nội dung.</t>
  </si>
  <si>
    <t>Tránh nhầm lẫn.</t>
  </si>
  <si>
    <t>Chấm điểm.</t>
  </si>
  <si>
    <t>Hỗ trợ sinh viên cải thiện.</t>
  </si>
  <si>
    <t>Thao tác nhanh.</t>
  </si>
  <si>
    <t>Dễ quản lý.</t>
  </si>
  <si>
    <t>Gửi đến sinh viên.</t>
  </si>
  <si>
    <t>Hệ thống gọn gàng.</t>
  </si>
  <si>
    <t>Phục vụ bài học.</t>
  </si>
  <si>
    <t>Chia sẻ với sinh viên.</t>
  </si>
  <si>
    <t>Quản lý dễ hơn.</t>
  </si>
  <si>
    <t>Chuẩn bị coi thi.</t>
  </si>
  <si>
    <t>Phụ huynh biết.</t>
  </si>
  <si>
    <t>Kiểm tra dữ liệu.</t>
  </si>
  <si>
    <t>Tái sử dụng.</t>
  </si>
  <si>
    <t>Kiểm tra sinh viên.</t>
  </si>
  <si>
    <t>Đánh giá tổng quan tình hình học tập.</t>
  </si>
  <si>
    <t>Quản trị viên</t>
  </si>
  <si>
    <t>Tạo tài khoản cho sinh viên</t>
  </si>
  <si>
    <t>Chỉnh sửa thông tin tài khoản</t>
  </si>
  <si>
    <t>Xóa tài khoản không còn sử dụng</t>
  </si>
  <si>
    <t>Phân quyền người dùng</t>
  </si>
  <si>
    <t>Chỉnh sửa thông tin lớp học</t>
  </si>
  <si>
    <t>Xóa lớp học không còn hoạt động</t>
  </si>
  <si>
    <t>Chỉnh sửa thông tin môn học</t>
  </si>
  <si>
    <t>Xóa môn học không còn sử dụng</t>
  </si>
  <si>
    <t>Chỉnh sửa thời khóa biểu toàn trường</t>
  </si>
  <si>
    <t>Xem lịch giảng dạy của giáo viên</t>
  </si>
  <si>
    <t>Tìm kiếm tài khoản theo tên đăng nhập</t>
  </si>
  <si>
    <t>Khóa tài khoản vi phạm</t>
  </si>
  <si>
    <t>Mở khóa tài khoản</t>
  </si>
  <si>
    <t>Đổi mật khẩu quản trị</t>
  </si>
  <si>
    <t>Xem báo cáo tổng kết học tập</t>
  </si>
  <si>
    <t>Tìm kiếm giáo viên theo bộ môn</t>
  </si>
  <si>
    <t>Phân loại sinh viên theo khối lớp</t>
  </si>
  <si>
    <t>Xem thống kê sinh viên nghỉ học</t>
  </si>
  <si>
    <t>Xem doanh thu học phí</t>
  </si>
  <si>
    <t>Tạo thông báo toàn trường</t>
  </si>
  <si>
    <t>Xem kết quả thi toàn trường</t>
  </si>
  <si>
    <t>Xem báo cáo sinh viên vi phạm nội quy</t>
  </si>
  <si>
    <t>Tìm kiếm sinh viên theo mã số</t>
  </si>
  <si>
    <t>Phân loại giáo viên theo thành tích giảng dạy</t>
  </si>
  <si>
    <t>Xem danh sách sinh viên được khen thưởng</t>
  </si>
  <si>
    <t>Theo dõi tiến độ giảng dạy của giáo viên</t>
  </si>
  <si>
    <t>Xem thống kê tỷ lệ đậu tốt nghiệp</t>
  </si>
  <si>
    <t>Xem lịch sử hoạt động của giáo viên</t>
  </si>
  <si>
    <t>Phê duyệt đơn xin nghỉ học của sinh viên</t>
  </si>
  <si>
    <t>Xem danh sách phụ huynh</t>
  </si>
  <si>
    <t>Xem báo cáo sử dụng cơ sở vật chất</t>
  </si>
  <si>
    <t>Phân loại lớp học theo thành tích</t>
  </si>
  <si>
    <t>Theo dõi lịch thanh toán học phí của sinh viên</t>
  </si>
  <si>
    <t>Xem thống kê số lượng sinh viên từng khối</t>
  </si>
  <si>
    <t>Xem lịch sử đăng nhập</t>
  </si>
  <si>
    <t>Sao lưu dữ liệu hệ thống</t>
  </si>
  <si>
    <t>Khôi phục dữ liệu</t>
  </si>
  <si>
    <t>Xem báo cáo tổng số người dùng</t>
  </si>
  <si>
    <t>Phân loại người dùng theo vai trò</t>
  </si>
  <si>
    <t>Xem nhật ký hoạt động của hệ thống</t>
  </si>
  <si>
    <t>Gửi thông báo bảo trì hệ thống</t>
  </si>
  <si>
    <t>Tìm kiếm lỗi hệ thống</t>
  </si>
  <si>
    <t>Phân loại dữ liệu theo năm học</t>
  </si>
  <si>
    <t>Xóa lớp học không còn hoạt động.</t>
  </si>
  <si>
    <t>Xem báo cáo sinh viên vi phạm nội quy.</t>
  </si>
  <si>
    <t>Phân loại giáo viên theo thành tích giảng dạy.</t>
  </si>
  <si>
    <t>Xem danh sách sinh viên được khen thưởng.</t>
  </si>
  <si>
    <t>Theo dõi tiến độ giảng dạy của giáo viên.</t>
  </si>
  <si>
    <t>Xem thống kê tỷ lệ đậu tốt nghiệp.</t>
  </si>
  <si>
    <t>Thêm mới kế hoạch học tập cho từng học kỳ.</t>
  </si>
  <si>
    <t>Phê duyệt đơn xin nghỉ học của sinh viên.</t>
  </si>
  <si>
    <t>Chỉnh sửa thời khóa biểu toàn trường.</t>
  </si>
  <si>
    <t>Xem báo cáo sử dụng cơ sở vật chất.</t>
  </si>
  <si>
    <t>Phân loại lớp học theo thành tích.</t>
  </si>
  <si>
    <t>Theo dõi lịch thanh toán học phí của sinh viên.</t>
  </si>
  <si>
    <t>Xem thống kê số lượng sinh viên từng khối.</t>
  </si>
  <si>
    <t>Xóa tài khoản không còn sử dụng.</t>
  </si>
  <si>
    <t>Phân loại người dùng theo vai trò.</t>
  </si>
  <si>
    <t>Xem danh sách lớp học theo từng khối</t>
  </si>
  <si>
    <t>Xóa môn học không còn sử dụng.</t>
  </si>
  <si>
    <t>Cập nhật thông tin giáo viên</t>
  </si>
  <si>
    <t>Phân loại dữ liệu theo năm học.</t>
  </si>
  <si>
    <t>Thiết lập lịch sao lưu tự động hàng tuần.</t>
  </si>
  <si>
    <t>Xem nhật ký hoạt động của hệ thống.</t>
  </si>
  <si>
    <t>Giám sát vận hành toàn diện</t>
  </si>
  <si>
    <t>Đánh giá chất lượng giáo dục.</t>
  </si>
  <si>
    <t>Quản lý nhân sự.</t>
  </si>
  <si>
    <t>Dễ theo dõi.</t>
  </si>
  <si>
    <t>Xử lý kịp thời.</t>
  </si>
  <si>
    <t>Quản lý tài chính.</t>
  </si>
  <si>
    <t>Điều phối công việc.</t>
  </si>
  <si>
    <t>Cập nhật dữ liệu.</t>
  </si>
  <si>
    <t>Truyền đạt thông tin.</t>
  </si>
  <si>
    <t>Đánh giá năng lực sinh viên.</t>
  </si>
  <si>
    <t>Đưa ra biện pháp xử lý.</t>
  </si>
  <si>
    <t>Tra cứu nhanh.</t>
  </si>
  <si>
    <t>Khen thưởng hợp lý.</t>
  </si>
  <si>
    <t>Vinh danh kịp thời.</t>
  </si>
  <si>
    <t>Đảm bảo đúng phân phối chương trình.</t>
  </si>
  <si>
    <t>Đánh giá đầu ra của trường.</t>
  </si>
  <si>
    <t>Chuẩn bị cho năm học mới.</t>
  </si>
  <si>
    <t>Kiểm tra dữ liệu khi có sự cố.</t>
  </si>
  <si>
    <t>Quản lý chuyên cần chính xác.</t>
  </si>
  <si>
    <t>Tối ưu hóa lịch học và phòng học.</t>
  </si>
  <si>
    <t>Lên kế hoạch bảo trì.</t>
  </si>
  <si>
    <t>Có kế hoạch bồi dưỡng phù hợp.</t>
  </si>
  <si>
    <t>Nhắc nhở đóng tiền đúng hạn.</t>
  </si>
  <si>
    <t>Cân đối nguồn lực giảng dạy.</t>
  </si>
  <si>
    <t>Cấp quyền truy cập hệ thống.</t>
  </si>
  <si>
    <t>Cập nhật dữ liệu người dùng.</t>
  </si>
  <si>
    <t>Giải phóng tài nguyên lưu trữ.</t>
  </si>
  <si>
    <t>Đảm bảo bảo mật thông tin.</t>
  </si>
  <si>
    <t>Quản lý nhanh chóng.</t>
  </si>
  <si>
    <t>Bảo vệ an toàn cho hệ thống.</t>
  </si>
  <si>
    <t>Cho phép người dùng tiếp tục sử dụng.</t>
  </si>
  <si>
    <t>Kiểm tra hoạt động bất thường.</t>
  </si>
  <si>
    <t>Tránh mất mát dữ liệu khi có sự cố.</t>
  </si>
  <si>
    <t>Phục hồi hệ thống khi xảy ra lỗi.</t>
  </si>
  <si>
    <t>Quản lý quy mô hệ thống.</t>
  </si>
  <si>
    <t>Dễ dàng áp dụng chính sách bảo mật.</t>
  </si>
  <si>
    <t>Dễ dàng quản lý phân bố.</t>
  </si>
  <si>
    <t>Cập nhật chương trình đào tạo.</t>
  </si>
  <si>
    <t>Tinh gọn danh mục đào tạo.</t>
  </si>
  <si>
    <t>Người dùng chủ động sắp xếp thời gian.</t>
  </si>
  <si>
    <t>Xử lý nhanh các trục trặc kỹ thuật.</t>
  </si>
  <si>
    <t>Lưu trữ thông tin học viên.</t>
  </si>
  <si>
    <t>Đảm bảo hồ sơ nhân sự chính xác.</t>
  </si>
  <si>
    <t>Dễ dàng tra cứu lịch sử trường học.</t>
  </si>
  <si>
    <t>Tự động hóa công tác bảo mật.</t>
  </si>
  <si>
    <t>Tăng cường bảo mật tối đa cho hệ thống.</t>
  </si>
  <si>
    <t>Xem danh sách toàn bộ môn học hiện có</t>
  </si>
  <si>
    <t>Nắm bắt danh mục đào tạo của trường.</t>
  </si>
  <si>
    <t>Bật hoặc tắt trạng thái hoạt động của một câu lạc bộ</t>
  </si>
  <si>
    <t>Kiểm soát các hoạt động ngoại khóa trong trường.</t>
  </si>
  <si>
    <t>Xem danh sách phản hồi/góp ý của sinh viên</t>
  </si>
  <si>
    <t>Chỉnh sửa thông tin cá nhân</t>
  </si>
  <si>
    <t>Cập nhật dữ liệu chính xác</t>
  </si>
  <si>
    <t>Cập nhật ảnh đại diện</t>
  </si>
  <si>
    <t>Cá nhân hóa tài khoản</t>
  </si>
  <si>
    <t>Đổi mật khẩu tài khoản</t>
  </si>
  <si>
    <t>Tăng bảo mật</t>
  </si>
  <si>
    <t>Quản lý tài khoản</t>
  </si>
  <si>
    <t>Đổi mật khẩu tài khoản cá nhân</t>
  </si>
  <si>
    <t>Bảo mật tài khoản của mình</t>
  </si>
  <si>
    <t>Tăng cường bảo mật tối đa cho hệ thống</t>
  </si>
  <si>
    <t>Quản lý người dùng</t>
  </si>
  <si>
    <t>Tạo tài khoản cho sinh viên mới</t>
  </si>
  <si>
    <t>Cấp quyền truy cập hệ thống</t>
  </si>
  <si>
    <t>Chỉnh sửa thông tin tài khoản người dùng</t>
  </si>
  <si>
    <t>Cập nhật dữ liệu người dùng</t>
  </si>
  <si>
    <t>Phân quyền người dùng theo vai trò</t>
  </si>
  <si>
    <t>Đảm bảo bảo mật thông tin</t>
  </si>
  <si>
    <t>Quản lý nhanh chóng</t>
  </si>
  <si>
    <t>Bảo vệ an toàn cho hệ thống</t>
  </si>
  <si>
    <t>Mở khóa tài khoản người dùng</t>
  </si>
  <si>
    <t>Cho phép người dùng tiếp tục sử dụng</t>
  </si>
  <si>
    <t>Giải phóng tài nguyên lưu trữ</t>
  </si>
  <si>
    <t>Xem lịch sử đăng nhập của người dùng</t>
  </si>
  <si>
    <t>Kiểm tra hoạt động bất thường</t>
  </si>
  <si>
    <t>Quản lý thời khóa biểu</t>
  </si>
  <si>
    <t>Xem thời khóa biểu cá nhân</t>
  </si>
  <si>
    <t>Biết lịch học mỗi ngày</t>
  </si>
  <si>
    <t>Xem lịch giảng dạy của mình</t>
  </si>
  <si>
    <t>Sắp xếp công việc hợp lý</t>
  </si>
  <si>
    <t>Tối ưu hóa lịch học và phòng học</t>
  </si>
  <si>
    <t>Xem lịch giảng dạy của từng giáo viên</t>
  </si>
  <si>
    <t>Điều phối công việc</t>
  </si>
  <si>
    <t>PB04</t>
  </si>
  <si>
    <t>Quản lý điểm số</t>
  </si>
  <si>
    <t>Xem điểm kiểm tra các môn học</t>
  </si>
  <si>
    <t>Theo dõi kết quả học tập</t>
  </si>
  <si>
    <t>Nhập điểm cho sinh viên</t>
  </si>
  <si>
    <t>Đánh giá kết quả học tập</t>
  </si>
  <si>
    <t>Chỉnh sửa điểm khi nhập sai dữ liệu</t>
  </si>
  <si>
    <t>Sửa đổi sai sót trong quá trình nhập liệu</t>
  </si>
  <si>
    <t>Xem lịch sử chỉnh sửa điểm</t>
  </si>
  <si>
    <t>Kiểm tra dữ liệu</t>
  </si>
  <si>
    <t>Xem bảng xếp hạng học tập của lớp</t>
  </si>
  <si>
    <t>Biết năng lực bản thân</t>
  </si>
  <si>
    <t>PB05</t>
  </si>
  <si>
    <t>Quản lý điểm danh</t>
  </si>
  <si>
    <t>Xem kết quả điểm danh của bản thân</t>
  </si>
  <si>
    <t>Kiểm tra số buổi nghỉ</t>
  </si>
  <si>
    <t>Điểm danh sinh viên trong buổi học</t>
  </si>
  <si>
    <t>Quản lý chuyên cần</t>
  </si>
  <si>
    <t>Xem thống kê điểm danh của lớp</t>
  </si>
  <si>
    <t>Theo dõi tình hình lớp</t>
  </si>
  <si>
    <t>Xin nghỉ học trực tuyến</t>
  </si>
  <si>
    <t>Tiết kiệm thời gian</t>
  </si>
  <si>
    <t>Quản lý chuyên cần chính xác</t>
  </si>
  <si>
    <t>Xử lý kịp thời</t>
  </si>
  <si>
    <t>PB06</t>
  </si>
  <si>
    <t>Xem thông tin lớp học và danh sách thành viên</t>
  </si>
  <si>
    <t>Biết danh sách thành viên</t>
  </si>
  <si>
    <t>Xem danh sách sinh viên của lớp</t>
  </si>
  <si>
    <t>Quản lý lớp</t>
  </si>
  <si>
    <t>Tìm kiếm sinh viên theo tên</t>
  </si>
  <si>
    <t>Thao tác nhanh</t>
  </si>
  <si>
    <t>Cập nhật dữ liệu</t>
  </si>
  <si>
    <t>Dễ dàng quản lý phân bố</t>
  </si>
  <si>
    <t>Hệ thống gọn gàng</t>
  </si>
  <si>
    <t>PB07</t>
  </si>
  <si>
    <t>Quản lý bài tập</t>
  </si>
  <si>
    <t>Nộp bài tập trực tuyến</t>
  </si>
  <si>
    <t>Giáo viên chấm điểm</t>
  </si>
  <si>
    <t>Tìm kiếm bài tập theo môn học</t>
  </si>
  <si>
    <t>Dễ ôn luyện</t>
  </si>
  <si>
    <t>Tạo bài tập giao cho sinh viên</t>
  </si>
  <si>
    <t>Giao cho sinh viên</t>
  </si>
  <si>
    <t>Chỉnh sửa bài tập đã tạo</t>
  </si>
  <si>
    <t>Cập nhật nội dung</t>
  </si>
  <si>
    <t>Xem bài nộp của sinh viên</t>
  </si>
  <si>
    <t>Chấm điểm</t>
  </si>
  <si>
    <t>Nhận xét bài tập cho sinh viên</t>
  </si>
  <si>
    <t>Hỗ trợ sinh viên cải thiện</t>
  </si>
  <si>
    <t>Xem nhận xét của giáo viên trên bài tập</t>
  </si>
  <si>
    <t>Cải thiện học lực</t>
  </si>
  <si>
    <t>Phân loại bài tập theo môn học</t>
  </si>
  <si>
    <t>Quản lý dễ hơn</t>
  </si>
  <si>
    <t>Xóa bài tập cũ</t>
  </si>
  <si>
    <t>Tránh nhầm lẫn</t>
  </si>
  <si>
    <t>PB08</t>
  </si>
  <si>
    <t>Quản lý tài liệu</t>
  </si>
  <si>
    <t>Tải tài liệu học tập về thiết bị</t>
  </si>
  <si>
    <t>Ôn bài</t>
  </si>
  <si>
    <t>Tải tài liệu lên hệ thống chia sẻ</t>
  </si>
  <si>
    <t>Chia sẻ với sinh viên</t>
  </si>
  <si>
    <t>Tìm kiếm tài liệu giảng dạy</t>
  </si>
  <si>
    <t>Phục vụ bài học</t>
  </si>
  <si>
    <t>Phân loại tài liệu theo môn học</t>
  </si>
  <si>
    <t>Dễ tìm kiếm</t>
  </si>
  <si>
    <t>Nhận thông báo khi giáo viên đăng bài mới</t>
  </si>
  <si>
    <t>Cập nhật kịp thời bài học</t>
  </si>
  <si>
    <t>PB09</t>
  </si>
  <si>
    <t>Quản lý lịch thi &amp; môn học</t>
  </si>
  <si>
    <t>Xem lịch thi của các môn học</t>
  </si>
  <si>
    <t>Chuẩn bị ôn tập</t>
  </si>
  <si>
    <t>Tìm kiếm môn học theo từ khóa</t>
  </si>
  <si>
    <t>Xem thông tin chi tiết</t>
  </si>
  <si>
    <t>Xem lịch thi và phân công coi thi</t>
  </si>
  <si>
    <t>Chuẩn bị coi thi</t>
  </si>
  <si>
    <t>Cập nhật chương trình đào tạo</t>
  </si>
  <si>
    <t>Nắm bắt danh mục đào tạo</t>
  </si>
  <si>
    <t>Tinh gọn danh mục đào tạo</t>
  </si>
  <si>
    <t>PB10</t>
  </si>
  <si>
    <t>Quản lý thông báo</t>
  </si>
  <si>
    <t>Tìm kiếm thông báo quan trọng</t>
  </si>
  <si>
    <t>Xem tin quan trọng</t>
  </si>
  <si>
    <t>Tạo thông báo gửi đến sinh viên trong lớp</t>
  </si>
  <si>
    <t>Gửi đến sinh viên</t>
  </si>
  <si>
    <t>Truyền đạt thông tin</t>
  </si>
  <si>
    <t>Xem lịch hoạt động trường</t>
  </si>
  <si>
    <t>Tham gia sự kiện</t>
  </si>
  <si>
    <t>Xóa thông báo cũ</t>
  </si>
  <si>
    <t>Người dùng chủ động sắp xếp thời gian</t>
  </si>
  <si>
    <t>PB11</t>
  </si>
  <si>
    <t>Quản lý học phí</t>
  </si>
  <si>
    <t>Xem học phí cần đóng</t>
  </si>
  <si>
    <t>Biết số tiền cần đóng</t>
  </si>
  <si>
    <t>Xem lịch sử thanh toán học phí</t>
  </si>
  <si>
    <t>Kiểm tra giao dịch</t>
  </si>
  <si>
    <t>Quản lý tài chính</t>
  </si>
  <si>
    <t>Nhắc nhở đóng tiền đúng hạn</t>
  </si>
  <si>
    <t>PB12</t>
  </si>
  <si>
    <t>Quản lý câu lạc bộ</t>
  </si>
  <si>
    <t>Đăng ký câu lạc bộ ngoại khóa</t>
  </si>
  <si>
    <t>Tham gia hoạt động ngoại khóa</t>
  </si>
  <si>
    <t>Hủy đăng ký câu lạc bộ</t>
  </si>
  <si>
    <t>Khi không còn tham gia</t>
  </si>
  <si>
    <t>Bật/tắt trạng thái hoạt động của câu lạc bộ</t>
  </si>
  <si>
    <t>Kiểm soát hoạt động ngoại khóa</t>
  </si>
  <si>
    <t>PB13</t>
  </si>
  <si>
    <t>Quản lý đề thi &amp; ngân hàng câu hỏi</t>
  </si>
  <si>
    <t>Quản lý danh sách câu hỏi kiểm tra</t>
  </si>
  <si>
    <t>Tái sử dụng câu hỏi</t>
  </si>
  <si>
    <t>Tạo đề thi trực tuyến từ ngân hàng câu hỏi</t>
  </si>
  <si>
    <t>Kiểm tra sinh viên</t>
  </si>
  <si>
    <t>Đánh giá năng lực sinh viên</t>
  </si>
  <si>
    <t>PB14</t>
  </si>
  <si>
    <t>Báo cáo &amp; thống kê</t>
  </si>
  <si>
    <t>Xem báo cáo kết quả học tập của lớp</t>
  </si>
  <si>
    <t>Đánh giá tổng quan tình hình học tập</t>
  </si>
  <si>
    <t>Phân loại sinh viên theo học lực</t>
  </si>
  <si>
    <t>Dễ quản lý</t>
  </si>
  <si>
    <t>Gửi cảnh báo đến sinh viên học yếu</t>
  </si>
  <si>
    <t>Phụ huynh biết</t>
  </si>
  <si>
    <t>Xem báo cáo tổng kết học tập theo kỳ/năm</t>
  </si>
  <si>
    <t>Đánh giá chất lượng giáo dục</t>
  </si>
  <si>
    <t>Đánh giá đầu ra của trường</t>
  </si>
  <si>
    <t>Cân đối nguồn lực giảng dạy</t>
  </si>
  <si>
    <t>Xem báo cáo tổng số người dùng hệ thống</t>
  </si>
  <si>
    <t>Quản lý quy mô hệ thống</t>
  </si>
  <si>
    <t>PB15</t>
  </si>
  <si>
    <t>Quản lý hệ thống</t>
  </si>
  <si>
    <t>Tránh mất mát dữ liệu khi có sự cố</t>
  </si>
  <si>
    <t>Khôi phục dữ liệu hệ thống</t>
  </si>
  <si>
    <t>Phục hồi hệ thống khi xảy ra lỗi</t>
  </si>
  <si>
    <t>Tìm kiếm lỗi hệ thống theo mức độ</t>
  </si>
  <si>
    <t>Xử lý nhanh các trục trặc kỹ thuật</t>
  </si>
  <si>
    <t>Đưa ra biện pháp xử lý</t>
  </si>
  <si>
    <t>Lưu trữ thông tin học viên</t>
  </si>
  <si>
    <t>Đảm bảo hồ sơ nhân sự chính xác</t>
  </si>
  <si>
    <t>Tra cứu nhanh</t>
  </si>
  <si>
    <t>Dễ dàng áp dụng chính sách bảo mật</t>
  </si>
  <si>
    <t>Quản lý nhân sự</t>
  </si>
  <si>
    <t>Dễ theo dõi</t>
  </si>
  <si>
    <t>Thêm mới kế hoạch học tập cho từng học kỳ</t>
  </si>
  <si>
    <t>Chuẩn bị cho năm học mới</t>
  </si>
  <si>
    <t>Dễ dàng tra cứu lịch sử trường học</t>
  </si>
  <si>
    <t>Quản lý lớp học &amp; giáo viên</t>
  </si>
  <si>
    <t>Xem danh sách giáo viên</t>
  </si>
  <si>
    <t>Liên hệ khi cần</t>
  </si>
  <si>
    <t>Gửi phản hồi cho giáo viên</t>
  </si>
  <si>
    <t>Trao đổi học tập</t>
  </si>
  <si>
    <t>Đảm bảo đúng phân phối chương trình</t>
  </si>
  <si>
    <t>Kiểm tra dữ liệu khi có sự cố</t>
  </si>
  <si>
    <t>Có kế hoạch bồi dưỡng phù hợp</t>
  </si>
  <si>
    <t>Biết được các vấn đề sinh viên gặp phải</t>
  </si>
  <si>
    <t>Vinh danh kịp thời</t>
  </si>
  <si>
    <t>Lên kế hoạch bảo trì</t>
  </si>
  <si>
    <t>Khen thưởng hợp lý</t>
  </si>
  <si>
    <t>Vẽ Use-case &amp; thiết kế DB tài khoản</t>
  </si>
  <si>
    <t>Kiểm thử PB01</t>
  </si>
  <si>
    <t>Thiết kế giao diện Admin Panel – Người dùng</t>
  </si>
  <si>
    <t>Kiểm thử PB02</t>
  </si>
  <si>
    <t>Thiết kế DB &amp; giao diện thời khóa biểu</t>
  </si>
  <si>
    <t>Kiểm thử PB03</t>
  </si>
  <si>
    <t>Thiết kế DB &amp; giao diện điểm số</t>
  </si>
  <si>
    <t>Kiểm thử PB04</t>
  </si>
  <si>
    <t>Thiết kế DB &amp; giao diện điểm danh</t>
  </si>
  <si>
    <t>Kiểm thử PB05</t>
  </si>
  <si>
    <t>Thiết kế DB &amp; giao diện lớp học</t>
  </si>
  <si>
    <t>T60</t>
  </si>
  <si>
    <t>T61</t>
  </si>
  <si>
    <t>T62</t>
  </si>
  <si>
    <t>Kiểm thử PB06</t>
  </si>
  <si>
    <t>T63</t>
  </si>
  <si>
    <t>Thiết kế DB &amp; giao diện bài tập</t>
  </si>
  <si>
    <t>T64</t>
  </si>
  <si>
    <t>T65</t>
  </si>
  <si>
    <t>T66</t>
  </si>
  <si>
    <t>T67</t>
  </si>
  <si>
    <t>T68</t>
  </si>
  <si>
    <t>T69</t>
  </si>
  <si>
    <t>T70</t>
  </si>
  <si>
    <t>T71</t>
  </si>
  <si>
    <t>T72</t>
  </si>
  <si>
    <t>T73</t>
  </si>
  <si>
    <t>Kiểm thử PB07</t>
  </si>
  <si>
    <t>T74</t>
  </si>
  <si>
    <t>Thiết kế DB &amp; giao diện tài liệu</t>
  </si>
  <si>
    <t>T75</t>
  </si>
  <si>
    <t>T76</t>
  </si>
  <si>
    <t>T77</t>
  </si>
  <si>
    <t>T78</t>
  </si>
  <si>
    <t>T79</t>
  </si>
  <si>
    <t>T80</t>
  </si>
  <si>
    <t>Kiểm thử PB08</t>
  </si>
  <si>
    <t>T81</t>
  </si>
  <si>
    <t>Thiết kế DB &amp; giao diện lịch thi &amp; môn học</t>
  </si>
  <si>
    <t>T82</t>
  </si>
  <si>
    <t>T83</t>
  </si>
  <si>
    <t>T84</t>
  </si>
  <si>
    <t>T85</t>
  </si>
  <si>
    <t>T86</t>
  </si>
  <si>
    <t>T87</t>
  </si>
  <si>
    <t>T88</t>
  </si>
  <si>
    <t>Kiểm thử PB09</t>
  </si>
  <si>
    <t>T89</t>
  </si>
  <si>
    <t>Thiết kế DB &amp; giao diện thông báo</t>
  </si>
  <si>
    <t>T90</t>
  </si>
  <si>
    <t>T91</t>
  </si>
  <si>
    <t>T92</t>
  </si>
  <si>
    <t>T93</t>
  </si>
  <si>
    <t>T94</t>
  </si>
  <si>
    <t>T95</t>
  </si>
  <si>
    <t>T96</t>
  </si>
  <si>
    <t>T97</t>
  </si>
  <si>
    <t>Kiểm thử PB10</t>
  </si>
  <si>
    <t>T98</t>
  </si>
  <si>
    <t>Thiết kế DB &amp; giao diện học phí</t>
  </si>
  <si>
    <t>T99</t>
  </si>
  <si>
    <t>T100</t>
  </si>
  <si>
    <t>T101</t>
  </si>
  <si>
    <t>T102</t>
  </si>
  <si>
    <t>T103</t>
  </si>
  <si>
    <t>Kiểm thử PB11</t>
  </si>
  <si>
    <t>T104</t>
  </si>
  <si>
    <t>Thiết kế DB &amp; giao diện câu lạc bộ</t>
  </si>
  <si>
    <t>T105</t>
  </si>
  <si>
    <t>T106</t>
  </si>
  <si>
    <t>T107</t>
  </si>
  <si>
    <t>T108</t>
  </si>
  <si>
    <t>Kiểm thử PB12</t>
  </si>
  <si>
    <t>T109</t>
  </si>
  <si>
    <t>Thiết kế DB &amp; giao diện đề thi</t>
  </si>
  <si>
    <t>T110</t>
  </si>
  <si>
    <t>T111</t>
  </si>
  <si>
    <t>T112</t>
  </si>
  <si>
    <t>T113</t>
  </si>
  <si>
    <t>Kiểm thử PB13</t>
  </si>
  <si>
    <t>T114</t>
  </si>
  <si>
    <t>Thiết kế DB &amp; giao diện báo cáo</t>
  </si>
  <si>
    <t>T115</t>
  </si>
  <si>
    <t>T116</t>
  </si>
  <si>
    <t>T117</t>
  </si>
  <si>
    <t>T118</t>
  </si>
  <si>
    <t>T119</t>
  </si>
  <si>
    <t>T120</t>
  </si>
  <si>
    <t>T121</t>
  </si>
  <si>
    <t>T122</t>
  </si>
  <si>
    <t>T123</t>
  </si>
  <si>
    <t>T124</t>
  </si>
  <si>
    <t>T125</t>
  </si>
  <si>
    <t>T126</t>
  </si>
  <si>
    <t>Kiểm thử PB14</t>
  </si>
  <si>
    <t>T127</t>
  </si>
  <si>
    <t>Thiết kế kiến trúc bảo mật &amp; hạ tầng hệ thống</t>
  </si>
  <si>
    <t>T128</t>
  </si>
  <si>
    <t>T129</t>
  </si>
  <si>
    <t>T130</t>
  </si>
  <si>
    <t>T131</t>
  </si>
  <si>
    <t>T132</t>
  </si>
  <si>
    <t>T133</t>
  </si>
  <si>
    <t>Kiểm thử PB15</t>
  </si>
  <si>
    <t>Chuẩn bị chung &amp; Hoàn thiện hệ thống</t>
  </si>
  <si>
    <t>T134</t>
  </si>
  <si>
    <t>Lập kế hoạch Sprint (Sprint Planning)</t>
  </si>
  <si>
    <t>T135</t>
  </si>
  <si>
    <t>Phân tích &amp; Thiết kế CSDL tổng thể</t>
  </si>
  <si>
    <t>T136</t>
  </si>
  <si>
    <t>Vẽ ERD &amp; Viết SQL khởi tạo CSDL</t>
  </si>
  <si>
    <t>T137</t>
  </si>
  <si>
    <t>T138</t>
  </si>
  <si>
    <t>Kiểm tra chất lượng hệ thống (Quality Attribute)</t>
  </si>
  <si>
    <t>T139</t>
  </si>
  <si>
    <t>Tích hợp toàn bộ module</t>
  </si>
  <si>
    <t>T140</t>
  </si>
  <si>
    <t>Kiểm thử hệ thống &amp; Nghiệm thu</t>
  </si>
  <si>
    <t>T141</t>
  </si>
  <si>
    <t>Quản lý Burn-down Chart &amp; Daily Standup</t>
  </si>
  <si>
    <t xml:space="preserve">Thiết kế giao diện </t>
  </si>
  <si>
    <t>Code: Chỉnh sửa thông tin cá nhân – Sinh viên</t>
  </si>
  <si>
    <t>Code: Đổi mật khẩu – Sinh viên</t>
  </si>
  <si>
    <t>Code: Đổi mật khẩu – Giáo viên</t>
  </si>
  <si>
    <t>Code: Đổi mật khẩu quản trị – Admin</t>
  </si>
  <si>
    <t>Code: Cập nhật ảnh đại diện – Sinh viên</t>
  </si>
  <si>
    <t xml:space="preserve">Vẽ Use-case </t>
  </si>
  <si>
    <t>Code: Xem thời khóa biểu – Sinh viên</t>
  </si>
  <si>
    <t>Code: Xem lịch giảng dạy – Giáo viên</t>
  </si>
  <si>
    <t xml:space="preserve">Thiết kế giao diện chính </t>
  </si>
  <si>
    <t>Code: Sao lưu dữ liệu hệ thống – Admin</t>
  </si>
  <si>
    <t>Code: Khôi phục dữ liệu hệ thống – Admin</t>
  </si>
  <si>
    <t>Code: Tìm kiếm lỗi hệ thống – Admin</t>
  </si>
  <si>
    <t>Code: Xem nhật ký hoạt động hệ thống – Admin</t>
  </si>
  <si>
    <t xml:space="preserve"> Code: Thiết lập lịch sao lưu tự động – Admin</t>
  </si>
  <si>
    <t>Code: Báo cáo kết quả học tập lớp – Giáo viên</t>
  </si>
  <si>
    <t>Code: Phân loại SV theo học lực – Giáo viên</t>
  </si>
  <si>
    <t>Code: Gửi cảnh báo SV học yếu – Giáo viên</t>
  </si>
  <si>
    <t>Code: Xem học phí cần đóng – Sinh viên</t>
  </si>
  <si>
    <t>Code: Xem lịch sử thanh toán – Sinh viên</t>
  </si>
  <si>
    <t>Code: Đăng ký câu lạc bộ – Sinh viên</t>
  </si>
  <si>
    <t>Code: Hủy đăng ký câu lạc bộ – Sinh viên</t>
  </si>
  <si>
    <t>Code: Xem thông tin lớp học – Sinh viên</t>
  </si>
  <si>
    <t>Code: Xem danh sách giáo viên – Sinh viên</t>
  </si>
  <si>
    <t>Code: Xem danh sách sinh viên lớp – Giáo viên</t>
  </si>
  <si>
    <t>Code: Tìm kiếm sinh viên theo tên – Giáo viên</t>
  </si>
  <si>
    <t>Code: Gửi phản hồi cho giáo viên – Sinh viên</t>
  </si>
  <si>
    <t>Code: Xem kết quả điểm danh – Sinh viên</t>
  </si>
  <si>
    <t>Code: Điểm danh sinh viên – Giáo viên</t>
  </si>
  <si>
    <t>Code: Xem thống kê điểm danh lớp – Giáo viên</t>
  </si>
  <si>
    <t>Code: Xin nghỉ học trực tuyến – Sinh viên</t>
  </si>
  <si>
    <t>Code: Xem điểm kiểm tra – Sinh viên</t>
  </si>
  <si>
    <t>Code: Nhập điểm – Giáo viên</t>
  </si>
  <si>
    <t>Code: Chỉnh sửa điểm – Giáo viên</t>
  </si>
  <si>
    <t>Code: Xem lịch sử chỉnh sửa điểm – Giáo viên</t>
  </si>
  <si>
    <t>Code: Xem bảng xếp hạng học tập – Sinh viên</t>
  </si>
  <si>
    <t>Code: Nộp bài tập trực tuyến – Sinh viên</t>
  </si>
  <si>
    <t>Code: Tìm kiếm bài tập theo môn học – Sinh viên</t>
  </si>
  <si>
    <t>Code: Tạo bài tập – Giáo viên</t>
  </si>
  <si>
    <t>Code: Chỉnh sửa bài tập – Giáo viên</t>
  </si>
  <si>
    <t>Code: Xem bài nộp của sinh viên – Giáo viên</t>
  </si>
  <si>
    <t>Code: Nhận xét bài tập – Giáo viên</t>
  </si>
  <si>
    <t>Code: Xem nhận xét của GV – Sinh viên</t>
  </si>
  <si>
    <t>Code: Phân loại bài tập theo môn học – Giáo viên</t>
  </si>
  <si>
    <t>Code: Xóa bài tập cũ – Giáo viên</t>
  </si>
  <si>
    <t>Code: Tải tài liệu học tập – Sinh viên</t>
  </si>
  <si>
    <t>Code: Tải tài liệu lên hệ thống – Giáo viên</t>
  </si>
  <si>
    <t>Code: Tìm kiếm tài liệu giảng dạy – Giáo viên</t>
  </si>
  <si>
    <t>Code: Thông báo khi GV đăng bài mới – Sinh viên</t>
  </si>
  <si>
    <t>Code: Phân loại tài liệu theo môn học – Sinh viên</t>
  </si>
  <si>
    <t>Code: Xem lịch thi – Sinh viên</t>
  </si>
  <si>
    <t>Code: Tìm kiếm môn học – Sinh viên</t>
  </si>
  <si>
    <t>Code: Xem lịch thi &amp; phân công coi thi – Giáo viên</t>
  </si>
  <si>
    <t>Code: Tìm kiếm thông báo – Sinh viên</t>
  </si>
  <si>
    <t>Code: Tạo thông báo lớp học – Giáo viên</t>
  </si>
  <si>
    <t>Code: Xem lịch hoạt động trường – Sinh viên</t>
  </si>
  <si>
    <t>Code: Xóa thông báo cũ – Giáo viên</t>
  </si>
  <si>
    <t>Code: Gửi thông báo bảo trì hệ thống – Admin</t>
  </si>
  <si>
    <t>Code: Xem phản hồi/góp ý của SV – Admin</t>
  </si>
  <si>
    <t>Sprint</t>
  </si>
  <si>
    <t>User story</t>
  </si>
  <si>
    <t>Loại tương tác</t>
  </si>
  <si>
    <t>Quy tắc nghiệp vụ</t>
  </si>
  <si>
    <t>Thực thể</t>
  </si>
  <si>
    <t>Loại thao tác dữ liệu</t>
  </si>
  <si>
    <t>Tổng UP (điểm chưa hiệu chỉnh)</t>
  </si>
  <si>
    <t>C (Hệ số nhân)</t>
  </si>
  <si>
    <t>AP (điểm đã hiệu chỉnh)</t>
  </si>
  <si>
    <t>ED (khía cạnh môi trường)</t>
  </si>
  <si>
    <t>PPS (=AP*ED)/36</t>
  </si>
  <si>
    <t>Sprint 1</t>
  </si>
  <si>
    <t>Sprint 2</t>
  </si>
  <si>
    <t>Sprint 3</t>
  </si>
  <si>
    <t>Khía cạnh</t>
  </si>
  <si>
    <t>Yếu tố</t>
  </si>
  <si>
    <t>Khoảng giá trị (0/2)</t>
  </si>
  <si>
    <t>Tổng khía cạnh</t>
  </si>
  <si>
    <t>Tổng ED</t>
  </si>
  <si>
    <t>Tổ chức</t>
  </si>
  <si>
    <t>Đã có những phòng ban khác nhau cùng làm việc thành công trong một dự án Scrum?</t>
  </si>
  <si>
    <t>Có sự chống đối mạnh mẽ với Scrum trong tổ chức?</t>
  </si>
  <si>
    <t>Có tồn tại sự hỗ trợ lớn về Scrum giữa những phòng ban khác nhau trong công ty?</t>
  </si>
  <si>
    <t>Hạ tầng</t>
  </si>
  <si>
    <t>Kiểm thử tự động đã được áp dụng và trở thành một kỹ thuật phổ biến hay chưa?</t>
  </si>
  <si>
    <t>Kiểm thử tích hợp liên tục đã được áp dụng và trở thành một kỹ thuật phổ biến hay chưa?</t>
  </si>
  <si>
    <t>Môi trường xây dựng (build environment) hàng ngày đã được áp dụng và trở thành một kỹ thuật phổ biến hay chưa?</t>
  </si>
  <si>
    <t>Nhóm</t>
  </si>
  <si>
    <t>Nhóm phát triển có nhiều kinh nghiệm với ngôn ngữ lập trình?</t>
  </si>
  <si>
    <t>Các thành viên trong nhóm phát triển có nhiều kinh nghiệm với công nghệ được sử dụng?</t>
  </si>
  <si>
    <t>Môi trường sản xuất với Scrum đã sẵn sàng chưa?</t>
  </si>
  <si>
    <t>Công nghệ</t>
  </si>
  <si>
    <t>Scrum là hoàn toàn mới đối với nhóm?</t>
  </si>
  <si>
    <t>Các thành viên trong nhóm đã từng làm việc thành công với nhau?</t>
  </si>
  <si>
    <t>Các thành viên trong nhóm hiểu và tôn trọng lẫn nhau?</t>
  </si>
  <si>
    <t>Quy trình</t>
  </si>
  <si>
    <t>Scrum có phải là khung làm việc được chấp thuận trong công ty hay không?</t>
  </si>
  <si>
    <t>Trong công ty có sự hỗ trợ tốt cho Scrum hay không?</t>
  </si>
  <si>
    <t>Trong công ty có sự phản đối đáng kể nào đối với Scrum hay không?</t>
  </si>
  <si>
    <t>Nghiệp vụ</t>
  </si>
  <si>
    <t>Có một Product Owner nào hoàn toàn sẵn sàng và gắn bó lâu dài với nhóm hay không?</t>
  </si>
  <si>
    <t>Có phải Product Owner đã quen thuộc với Scrum nhưng vẫn thiếu kinh nghiệm thực tế hay không?</t>
  </si>
  <si>
    <t>Product Owner đã từng thành công với Scrum trước đây hay chưa?</t>
  </si>
  <si>
    <t>Không cho sửa Mã số sinh viên, Ngày sinh</t>
  </si>
  <si>
    <t>Nhập điểm từ 0–10, làm tròn 2 thập phân</t>
  </si>
  <si>
    <t>Hạn nộp phải lớn hơn ngày hiện tại.</t>
  </si>
  <si>
    <t>Sửa điểm mới, kiểm tra hợp lệ (0–10).</t>
  </si>
  <si>
    <t>Kiểm tra trùng mã SV, trùng email</t>
  </si>
  <si>
    <t>Không cho sửa mã giáo viên.</t>
  </si>
  <si>
    <t>Nhập mật khẩu cũ, xác nhận mật khẩu mới.</t>
  </si>
  <si>
    <t>Lí do bắt buộc</t>
  </si>
  <si>
    <t>Đổi mật khẩu</t>
  </si>
  <si>
    <t>Tạo tài khoản sinh viên mới</t>
  </si>
  <si>
    <t>Import sinh viên từ file Excel</t>
  </si>
  <si>
    <t>Chỉnh sửa tài khoản người dùng</t>
  </si>
  <si>
    <t>Tìm kiếm tài khoản theo username</t>
  </si>
  <si>
    <t>Xóa tài khoản không dùng</t>
  </si>
  <si>
    <t>Thêm kế hoạch học tập học kỳ</t>
  </si>
  <si>
    <t>Xem lịch giảng dạy từng giáo viên</t>
  </si>
  <si>
    <t>Chỉnh sửa điểm khi nhập sai</t>
  </si>
  <si>
    <t>Xem bảng xếp hạng học tập lớp</t>
  </si>
  <si>
    <t>Xem kết quả điểm danh bản thân</t>
  </si>
  <si>
    <t>Xem thống kê điểm danh lớp</t>
  </si>
  <si>
    <t>Phê duyệt đơn xin nghỉ học</t>
  </si>
  <si>
    <t>Thống kê sinh viên nghỉ học</t>
  </si>
  <si>
    <t>Theo dõi tiến độ giảng dạy GV</t>
  </si>
  <si>
    <t>Xem lịch sử hoạt động GV</t>
  </si>
  <si>
    <t>Xem danh sách lớp theo khối</t>
  </si>
  <si>
    <t>Phân loại lớp theo thành tích</t>
  </si>
  <si>
    <t>Xem nhận xét của GV trên bài tập</t>
  </si>
  <si>
    <t>Nhận thông báo khi GV đăng tài liệu mới</t>
  </si>
  <si>
    <t>Xem danh sách toàn bộ môn học</t>
  </si>
  <si>
    <t>Xem phản hồi/góp ý của sinh viên</t>
  </si>
  <si>
    <t>Theo dõi lịch thanh toán học phí SV</t>
  </si>
  <si>
    <t>Bật/tắt trạng thái hoạt động CLB</t>
  </si>
  <si>
    <t>Báo cáo tổng kết học tập theo kỳ/năm</t>
  </si>
  <si>
    <t>Thống kê tỷ lệ đậu tốt nghiệp</t>
  </si>
  <si>
    <t>Báo cáo kết quả học tập của lớp</t>
  </si>
  <si>
    <t>Báo cáo sinh viên vi phạm nội quy</t>
  </si>
  <si>
    <t>Thống kê số lượng SV từng khối</t>
  </si>
  <si>
    <t>Báo cáo tổng số người dùng hệ thống</t>
  </si>
  <si>
    <t>Danh sách sinh viên được khen thưởng</t>
  </si>
  <si>
    <t>Báo cáo sử dụng cơ sở vật chất</t>
  </si>
  <si>
    <t>Phân loại GV theo thành tích giảng dạy</t>
  </si>
  <si>
    <t>Xem nhật ký hoạt động hệ thống</t>
  </si>
  <si>
    <t>Tổng sprint 1</t>
  </si>
  <si>
    <t>Tổng sprint 2</t>
  </si>
  <si>
    <t>Thêm sinh viên mới vào cơ sở dữ liệu từ Excel</t>
  </si>
  <si>
    <t>Quản trị viên, HR</t>
  </si>
  <si>
    <t>Khảo thí</t>
  </si>
  <si>
    <t>Quản trị viên, Khảo thí</t>
  </si>
  <si>
    <t>Quản trị viên,Khảo thí</t>
  </si>
  <si>
    <t>Quản trị viên, DVSV</t>
  </si>
  <si>
    <t>Quản trị viên, , DVSV</t>
  </si>
  <si>
    <t>Quản trị viên, Đào tạo</t>
  </si>
  <si>
    <t xml:space="preserve">Quản trị viên, Đào tạo </t>
  </si>
  <si>
    <t>Code: Quản lý ngân hàng câu hỏi – Khảo thí</t>
  </si>
  <si>
    <t>Code: Tạo đề thi trực tuyến – Khảo thí</t>
  </si>
  <si>
    <t>Code: Xem kết quả thi toàn trường – Admin, Khảo thí</t>
  </si>
  <si>
    <t>Code: Thống kê tỷ lệ đậu tốt nghiệp – Admin, Khảo thí</t>
  </si>
  <si>
    <t>Code: Tạo thông báo toàn trường – Admin, HR</t>
  </si>
  <si>
    <t>Code: Phân loại GV theo thành tích – Admin, HR</t>
  </si>
  <si>
    <t>Code: Xem lịch sử hoạt động GV – Admin, HR</t>
  </si>
  <si>
    <t>Code: Xem danh sách phụ huynh – Admin, HR</t>
  </si>
  <si>
    <t>Code: Báo cáo sử dụng cơ sở vật chất – Admin, HR</t>
  </si>
  <si>
    <t>Code: Báo cáo tổng số người dùng – Admin, HR</t>
  </si>
  <si>
    <t>Code: Thống kê sinh viên nghỉ học – Admin, DVSV</t>
  </si>
  <si>
    <t>Code: Xem doanh thu học phí – Admin, DVSV</t>
  </si>
  <si>
    <t>Code: Báo cáo SV vi phạm nội quy – Admin, DVSV</t>
  </si>
  <si>
    <t>Code: Danh sách SV được khen thưởng – Admin, DVSV</t>
  </si>
  <si>
    <t>Code: Phê duyệt đơn xin nghỉ – Admin, DVSV</t>
  </si>
  <si>
    <t>Code: Theo dõi lịch thanh toán SV – Admin, DVSV</t>
  </si>
  <si>
    <t>Code: Bật/tắt trạng thái CLB – Admin, DVSV</t>
  </si>
  <si>
    <t>Code: Báo cáo tổng kết học tập theo kỳ – Admin, Đào tạo</t>
  </si>
  <si>
    <t>Code: Xem lịch giảng dạy của từng giáo viên – Admin, Đào tạo</t>
  </si>
  <si>
    <t>Code: Chỉnh sửa thông tin lớp học – Admin, Đào tạo</t>
  </si>
  <si>
    <t>Code: Xóa lớp học không hoạt động – Admin, Đào tạo</t>
  </si>
  <si>
    <t>Code: Theo dõi tiến độ giảng dạy – Admin, Đào tạo</t>
  </si>
  <si>
    <t>Code: Thêm kế hoạch học tập học kỳ – Admin, Đào tạo</t>
  </si>
  <si>
    <t>Code: Chỉnh sửa thời khóa biểu toàn trường – Admin, Đào tạo</t>
  </si>
  <si>
    <t>Code: Phân loại lớp theo thành tích – Admin, Đào tạo</t>
  </si>
  <si>
    <t>Code: Thống kê SV từng khối – Admin, Đào tạo</t>
  </si>
  <si>
    <t>Code: Xem danh sách lớp theo khối – Admin, Đào tạo</t>
  </si>
  <si>
    <t>Code: Chỉnh sửa thông tin môn học – Admin, Đào tạo</t>
  </si>
  <si>
    <t>Code: Xóa môn học không dùng – Admin, Đào tạo</t>
  </si>
  <si>
    <t>Code: Xem danh sách môn học – Admin, Đào tạo</t>
  </si>
  <si>
    <t>Code: Phân loại dữ liệu theo năm học – Admin, Đào tạo</t>
  </si>
  <si>
    <t>Code: Tạo tài khoản sinh viên mới - Quản trị viên, HR</t>
  </si>
  <si>
    <t>Code: Import sinh viên từ Excel -  Quản trị viên, HR</t>
  </si>
  <si>
    <t>Code: Cập nhật thông tin giáo viên - Quản trị viên, HR</t>
  </si>
  <si>
    <t>Code: Chỉnh sửa tài khoản người dùng - Quản trị viên, HR</t>
  </si>
  <si>
    <t>Code: Tìm kiếm tài khoản theo username - Quản trị viên, HR</t>
  </si>
  <si>
    <t>Code: Phân quyền người dùng  - Quản trị viên</t>
  </si>
  <si>
    <t>Code: Khóa tài khoản vi phạm - Quản trị viên, HR</t>
  </si>
  <si>
    <t>Code: Mở khóa tài khoản - Quản trị viên, HR</t>
  </si>
  <si>
    <t>Code: Tìm kiếm sinh viên theo mã số - Quản trị viên, HR</t>
  </si>
  <si>
    <t>Code: Xóa tài khoản không dùng - Quản trị viên, HR</t>
  </si>
  <si>
    <t>Code: Xem lịch sử đăng nhập - Quản trị viên, HR</t>
  </si>
  <si>
    <t>Code: Phân loại người dùng theo vai trò - Quản trị viên, HR</t>
  </si>
  <si>
    <t>Code: Tìm kiếm giáo viên theo bộ môn - Quản trị viên, HR</t>
  </si>
  <si>
    <t>Code: Phân loại sinh viên theo khối lớp - Quản trị viên, Đào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</si>
</sst>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scheme val="minor"/>
    </font>
    <font>
      <sz val="11"/>
      <color theme="1"/>
      <name val="Calibri"/>
      <family val="2"/>
      <scheme val="minor"/>
    </font>
    <font>
      <sz val="11"/>
      <color theme="1"/>
      <name val="Calibri"/>
      <family val="2"/>
      <scheme val="minor"/>
    </font>
    <font>
      <b/>
      <sz val="36"/>
      <color theme="1"/>
      <name val="Calibri"/>
      <family val="2"/>
    </font>
    <font>
      <sz val="14"/>
      <color rgb="FFFFFFFF"/>
      <name val="Cambria"/>
      <family val="1"/>
    </font>
    <font>
      <sz val="11"/>
      <name val="Calibri"/>
      <family val="2"/>
    </font>
    <font>
      <sz val="12"/>
      <color theme="1"/>
      <name val="Cambria"/>
      <family val="1"/>
    </font>
    <font>
      <sz val="11"/>
      <color theme="1"/>
      <name val="Calibri"/>
      <family val="2"/>
    </font>
    <font>
      <b/>
      <sz val="10"/>
      <color rgb="FF000000"/>
      <name val="Verdana"/>
      <family val="2"/>
    </font>
    <font>
      <sz val="10"/>
      <color rgb="FF000000"/>
      <name val="Verdana"/>
      <family val="2"/>
    </font>
    <font>
      <sz val="8"/>
      <name val="Calibri"/>
      <family val="2"/>
      <scheme val="minor"/>
    </font>
    <font>
      <sz val="12"/>
      <name val="Cambria"/>
      <family val="1"/>
    </font>
    <font>
      <b/>
      <sz val="24"/>
      <name val="Cambria"/>
      <family val="1"/>
    </font>
    <font>
      <sz val="11"/>
      <color theme="1"/>
      <name val="Calibri"/>
    </font>
    <font>
      <sz val="11"/>
      <name val="Calibri"/>
    </font>
    <font>
      <b/>
      <sz val="11"/>
      <color rgb="FFFFFFFF"/>
      <name val="Calibri"/>
    </font>
    <font>
      <sz val="11"/>
      <color rgb="FF1F1F1F"/>
      <name val="Calibri"/>
    </font>
    <font>
      <sz val="34"/>
      <color rgb="FFCC0000"/>
      <name val="Calibri"/>
    </font>
    <font>
      <b/>
      <sz val="12"/>
      <color rgb="FFFFFFFF"/>
      <name val="Cambria"/>
      <family val="1"/>
    </font>
    <font>
      <b/>
      <sz val="12"/>
      <color theme="0"/>
      <name val="Cambria"/>
      <family val="1"/>
    </font>
    <font>
      <sz val="12"/>
      <color theme="1"/>
      <name val="Calibri"/>
      <family val="2"/>
      <scheme val="minor"/>
    </font>
  </fonts>
  <fills count="8">
    <fill>
      <patternFill patternType="none"/>
    </fill>
    <fill>
      <patternFill patternType="gray125"/>
    </fill>
    <fill>
      <patternFill patternType="solid">
        <fgColor rgb="FF333399"/>
        <bgColor rgb="FF333399"/>
      </patternFill>
    </fill>
    <fill>
      <patternFill patternType="solid">
        <fgColor theme="0"/>
        <bgColor indexed="64"/>
      </patternFill>
    </fill>
    <fill>
      <patternFill patternType="solid">
        <fgColor rgb="FF6AA84F"/>
        <bgColor rgb="FF6AA84F"/>
      </patternFill>
    </fill>
    <fill>
      <patternFill patternType="solid">
        <fgColor rgb="FFCC0000"/>
        <bgColor rgb="FFCC0000"/>
      </patternFill>
    </fill>
    <fill>
      <patternFill patternType="solid">
        <fgColor theme="0"/>
        <bgColor rgb="FFFFF2CC"/>
      </patternFill>
    </fill>
    <fill>
      <patternFill patternType="solid">
        <fgColor theme="0"/>
        <bgColor rgb="FFBDD7EE"/>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69">
    <xf numFmtId="0" fontId="0" fillId="0" borderId="0" xfId="0"/>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0" borderId="0" xfId="0" applyFont="1" applyAlignment="1">
      <alignment wrapText="1"/>
    </xf>
    <xf numFmtId="0" fontId="4" fillId="2" borderId="5" xfId="0" applyFont="1" applyFill="1" applyBorder="1" applyAlignment="1">
      <alignment horizontal="center" vertical="center"/>
    </xf>
    <xf numFmtId="0" fontId="4" fillId="2" borderId="5" xfId="0" applyFont="1" applyFill="1" applyBorder="1" applyAlignment="1">
      <alignment horizontal="center" vertical="center" wrapText="1"/>
    </xf>
    <xf numFmtId="0" fontId="8" fillId="0" borderId="0" xfId="0" applyFont="1"/>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9" fillId="0" borderId="0" xfId="0" applyFont="1"/>
    <xf numFmtId="0" fontId="6" fillId="0" borderId="8" xfId="0" applyFont="1" applyBorder="1" applyAlignment="1">
      <alignment vertical="center" wrapText="1"/>
    </xf>
    <xf numFmtId="0" fontId="6" fillId="0" borderId="8" xfId="0" applyFont="1" applyBorder="1" applyAlignment="1">
      <alignment horizontal="left" vertical="center" wrapText="1"/>
    </xf>
    <xf numFmtId="0" fontId="11" fillId="3" borderId="1" xfId="1" applyFont="1" applyFill="1" applyBorder="1" applyAlignment="1">
      <alignment horizontal="left" vertical="center" wrapText="1"/>
    </xf>
    <xf numFmtId="0" fontId="11" fillId="3" borderId="1" xfId="1" applyFont="1" applyFill="1" applyBorder="1" applyAlignment="1">
      <alignment horizontal="center" vertical="center" wrapText="1"/>
    </xf>
    <xf numFmtId="0" fontId="0" fillId="0" borderId="0" xfId="0" applyAlignment="1">
      <alignment horizontal="center" vertical="center"/>
    </xf>
    <xf numFmtId="0" fontId="6" fillId="0" borderId="8" xfId="0" applyFont="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6" fillId="0" borderId="0" xfId="0" applyFont="1" applyAlignment="1">
      <alignment horizontal="center" vertical="center"/>
    </xf>
    <xf numFmtId="0" fontId="1" fillId="0" borderId="0" xfId="0" applyFont="1"/>
    <xf numFmtId="0" fontId="13" fillId="0" borderId="1" xfId="0" applyFont="1" applyBorder="1" applyAlignment="1">
      <alignment horizontal="center" vertical="center"/>
    </xf>
    <xf numFmtId="0" fontId="16" fillId="0" borderId="1" xfId="0" applyFont="1" applyBorder="1" applyAlignment="1">
      <alignment vertical="center" wrapText="1"/>
    </xf>
    <xf numFmtId="0" fontId="15" fillId="5" borderId="1" xfId="0" applyFont="1" applyFill="1" applyBorder="1" applyAlignment="1">
      <alignment horizontal="center" vertical="center" wrapText="1"/>
    </xf>
    <xf numFmtId="0" fontId="15" fillId="5" borderId="1" xfId="0" applyFont="1" applyFill="1" applyBorder="1" applyAlignment="1">
      <alignment horizontal="center" vertical="center"/>
    </xf>
    <xf numFmtId="0" fontId="18" fillId="4" borderId="5"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20" fillId="0" borderId="0" xfId="0" applyFont="1"/>
    <xf numFmtId="0" fontId="11" fillId="6" borderId="8" xfId="0" applyFont="1" applyFill="1" applyBorder="1" applyAlignment="1">
      <alignment horizontal="center" vertical="center" wrapText="1"/>
    </xf>
    <xf numFmtId="0" fontId="6" fillId="3" borderId="8" xfId="0" applyFont="1" applyFill="1" applyBorder="1"/>
    <xf numFmtId="0" fontId="6" fillId="3" borderId="8" xfId="0" applyFont="1" applyFill="1" applyBorder="1" applyAlignment="1">
      <alignment horizontal="center"/>
    </xf>
    <xf numFmtId="0" fontId="11" fillId="7" borderId="8" xfId="0" applyFont="1" applyFill="1" applyBorder="1" applyAlignment="1">
      <alignment horizontal="center" vertical="center" wrapText="1"/>
    </xf>
    <xf numFmtId="0" fontId="6" fillId="0" borderId="8" xfId="0" applyFont="1" applyBorder="1"/>
    <xf numFmtId="0" fontId="6" fillId="0" borderId="8" xfId="0" applyFont="1" applyBorder="1" applyAlignment="1">
      <alignment horizontal="center"/>
    </xf>
    <xf numFmtId="0" fontId="20" fillId="0" borderId="0" xfId="0" applyFont="1" applyAlignment="1">
      <alignment horizontal="center"/>
    </xf>
    <xf numFmtId="0" fontId="6" fillId="0" borderId="8" xfId="0" applyFont="1" applyBorder="1" applyAlignment="1">
      <alignment horizontal="center" vertical="center"/>
    </xf>
    <xf numFmtId="0" fontId="20" fillId="0" borderId="0" xfId="0" applyFont="1" applyAlignment="1">
      <alignment horizontal="center" vertical="center"/>
    </xf>
    <xf numFmtId="0" fontId="20" fillId="0" borderId="8" xfId="0" applyFont="1" applyBorder="1" applyAlignment="1">
      <alignment horizontal="center"/>
    </xf>
    <xf numFmtId="0" fontId="11" fillId="6" borderId="9" xfId="0" applyFont="1" applyFill="1" applyBorder="1" applyAlignment="1">
      <alignment horizontal="center" vertical="center" wrapText="1"/>
    </xf>
    <xf numFmtId="0" fontId="11" fillId="6" borderId="10" xfId="0" applyFont="1" applyFill="1" applyBorder="1" applyAlignment="1">
      <alignment horizontal="center" vertical="center" wrapText="1"/>
    </xf>
    <xf numFmtId="0" fontId="11" fillId="6" borderId="11" xfId="0" applyFont="1" applyFill="1" applyBorder="1" applyAlignment="1">
      <alignment horizontal="center" vertical="center" wrapText="1"/>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3" fillId="0" borderId="0" xfId="0" applyFont="1" applyAlignment="1">
      <alignment horizontal="center" wrapText="1"/>
    </xf>
    <xf numFmtId="0" fontId="0" fillId="0" borderId="0" xfId="0"/>
    <xf numFmtId="0" fontId="12" fillId="3" borderId="1" xfId="0" applyFont="1" applyFill="1" applyBorder="1" applyAlignment="1">
      <alignment horizontal="center" vertical="center" wrapText="1"/>
    </xf>
    <xf numFmtId="0" fontId="12" fillId="3" borderId="0" xfId="0" applyFont="1" applyFill="1" applyAlignment="1">
      <alignment horizontal="center"/>
    </xf>
    <xf numFmtId="0" fontId="11" fillId="3" borderId="0" xfId="0" applyFont="1" applyFill="1" applyAlignment="1">
      <alignment horizontal="center"/>
    </xf>
    <xf numFmtId="0" fontId="12"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0" borderId="6" xfId="0" applyFont="1" applyBorder="1"/>
    <xf numFmtId="0" fontId="4" fillId="2"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1" fillId="3" borderId="1" xfId="1" applyFont="1" applyFill="1" applyBorder="1" applyAlignment="1">
      <alignment horizontal="center" vertical="center" wrapText="1"/>
    </xf>
    <xf numFmtId="0" fontId="11" fillId="3" borderId="7" xfId="1" applyFont="1" applyFill="1" applyBorder="1"/>
    <xf numFmtId="0" fontId="11" fillId="3" borderId="6" xfId="1" applyFont="1" applyFill="1" applyBorder="1"/>
    <xf numFmtId="0" fontId="4" fillId="2" borderId="5" xfId="0" applyFont="1" applyFill="1" applyBorder="1" applyAlignment="1">
      <alignment horizontal="center" vertical="center"/>
    </xf>
    <xf numFmtId="0" fontId="5" fillId="0" borderId="7" xfId="0" applyFont="1" applyBorder="1" applyAlignment="1">
      <alignment horizontal="center" vertical="center"/>
    </xf>
    <xf numFmtId="0" fontId="5" fillId="0" borderId="7" xfId="0" applyFont="1" applyBorder="1"/>
    <xf numFmtId="0" fontId="4" fillId="2" borderId="2" xfId="0" applyFont="1" applyFill="1" applyBorder="1" applyAlignment="1">
      <alignment horizontal="center" vertical="center"/>
    </xf>
    <xf numFmtId="0" fontId="13" fillId="0" borderId="5" xfId="0" applyFont="1" applyBorder="1" applyAlignment="1">
      <alignment horizontal="center" vertical="center"/>
    </xf>
    <xf numFmtId="0" fontId="14" fillId="0" borderId="7" xfId="0" applyFont="1" applyBorder="1" applyAlignment="1">
      <alignment vertical="center"/>
    </xf>
    <xf numFmtId="0" fontId="14" fillId="0" borderId="6" xfId="0" applyFont="1" applyBorder="1" applyAlignment="1">
      <alignment vertical="center"/>
    </xf>
    <xf numFmtId="0" fontId="13" fillId="0" borderId="7" xfId="0" applyFont="1" applyBorder="1" applyAlignment="1">
      <alignment horizontal="center" vertical="center"/>
    </xf>
    <xf numFmtId="0" fontId="13" fillId="0" borderId="6" xfId="0" applyFont="1" applyBorder="1" applyAlignment="1">
      <alignment horizontal="center" vertical="center"/>
    </xf>
    <xf numFmtId="0" fontId="17" fillId="0" borderId="5" xfId="0" applyFont="1" applyBorder="1" applyAlignment="1">
      <alignment horizontal="center" vertical="center"/>
    </xf>
  </cellXfs>
  <cellStyles count="3">
    <cellStyle name="Normal" xfId="0" builtinId="0"/>
    <cellStyle name="Normal 2" xfId="1" xr:uid="{BD838308-B4AC-4935-A473-F680E0BCC5CA}"/>
    <cellStyle name="Normal 2 2" xfId="2" xr:uid="{1E37DF0B-5102-42AB-BAD5-20C017F2A0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85"/>
  <sheetViews>
    <sheetView tabSelected="1" topLeftCell="A13" zoomScale="85" zoomScaleNormal="85" workbookViewId="0">
      <selection activeCell="I29" sqref="I29"/>
    </sheetView>
  </sheetViews>
  <sheetFormatPr defaultColWidth="14.42578125" defaultRowHeight="15" customHeight="1" x14ac:dyDescent="0.25"/>
  <cols>
    <col min="1" max="1" width="8.85546875" customWidth="1"/>
    <col min="2" max="2" width="65.85546875" customWidth="1"/>
    <col min="3" max="3" width="24.7109375" customWidth="1"/>
    <col min="4" max="4" width="20.42578125" customWidth="1"/>
    <col min="5" max="5" width="14.140625" customWidth="1"/>
    <col min="6" max="6" width="10.28515625" customWidth="1"/>
    <col min="7" max="7" width="8.85546875" customWidth="1"/>
    <col min="8" max="8" width="15.42578125" customWidth="1"/>
    <col min="9" max="9" width="15.7109375" customWidth="1"/>
    <col min="10" max="10" width="16.42578125" customWidth="1"/>
    <col min="11" max="26" width="8.85546875" customWidth="1"/>
  </cols>
  <sheetData>
    <row r="1" spans="1:13" ht="14.25" customHeight="1" x14ac:dyDescent="0.25">
      <c r="A1" s="44" t="s">
        <v>0</v>
      </c>
      <c r="B1" s="45"/>
      <c r="C1" s="45"/>
      <c r="D1" s="45"/>
      <c r="E1" s="45"/>
      <c r="F1" s="45"/>
      <c r="G1" s="45"/>
      <c r="H1" s="45"/>
      <c r="I1" s="45"/>
      <c r="J1" s="45"/>
    </row>
    <row r="2" spans="1:13" ht="29.25" customHeight="1" x14ac:dyDescent="0.25">
      <c r="A2" s="45"/>
      <c r="B2" s="45"/>
      <c r="C2" s="45"/>
      <c r="D2" s="45"/>
      <c r="E2" s="45"/>
      <c r="F2" s="45"/>
      <c r="G2" s="45"/>
      <c r="H2" s="45"/>
      <c r="I2" s="45"/>
      <c r="J2" s="45"/>
    </row>
    <row r="4" spans="1:13" ht="54" x14ac:dyDescent="0.25">
      <c r="A4" s="1" t="s">
        <v>1</v>
      </c>
      <c r="B4" s="1" t="s">
        <v>2</v>
      </c>
      <c r="C4" s="1" t="s">
        <v>3</v>
      </c>
      <c r="D4" s="1" t="s">
        <v>4</v>
      </c>
      <c r="E4" s="1" t="s">
        <v>5</v>
      </c>
      <c r="F4" s="1" t="s">
        <v>6</v>
      </c>
      <c r="G4" s="1" t="s">
        <v>7</v>
      </c>
      <c r="H4" s="2" t="s">
        <v>8</v>
      </c>
      <c r="I4" s="1" t="s">
        <v>9</v>
      </c>
      <c r="J4" s="1" t="s">
        <v>10</v>
      </c>
    </row>
    <row r="5" spans="1:13" ht="30" customHeight="1" x14ac:dyDescent="0.4">
      <c r="A5" s="46" t="s">
        <v>435</v>
      </c>
      <c r="B5" s="47"/>
      <c r="C5" s="47"/>
      <c r="D5" s="47"/>
      <c r="E5" s="47"/>
      <c r="F5" s="47"/>
      <c r="G5" s="47"/>
      <c r="H5" s="47"/>
      <c r="I5" s="47"/>
      <c r="J5" s="47"/>
    </row>
    <row r="6" spans="1:13" ht="30" customHeight="1" x14ac:dyDescent="0.25">
      <c r="A6" s="17" t="s">
        <v>11</v>
      </c>
      <c r="B6" s="18" t="s">
        <v>615</v>
      </c>
      <c r="C6" s="18"/>
      <c r="D6" s="17"/>
      <c r="E6" s="17" t="s">
        <v>12</v>
      </c>
      <c r="F6" s="17"/>
      <c r="G6" s="17" t="s">
        <v>13</v>
      </c>
      <c r="H6" s="17">
        <v>10</v>
      </c>
      <c r="I6" s="18"/>
      <c r="J6" s="17"/>
    </row>
    <row r="7" spans="1:13" ht="30" customHeight="1" x14ac:dyDescent="0.25">
      <c r="A7" s="17" t="s">
        <v>14</v>
      </c>
      <c r="B7" s="18" t="s">
        <v>735</v>
      </c>
      <c r="C7" s="18"/>
      <c r="D7" s="17"/>
      <c r="E7" s="17"/>
      <c r="F7" s="17"/>
      <c r="G7" s="17" t="s">
        <v>13</v>
      </c>
      <c r="H7" s="17">
        <v>6</v>
      </c>
      <c r="I7" s="18"/>
      <c r="J7" s="17"/>
    </row>
    <row r="8" spans="1:13" ht="30" customHeight="1" x14ac:dyDescent="0.25">
      <c r="A8" s="17" t="s">
        <v>15</v>
      </c>
      <c r="B8" s="18" t="s">
        <v>736</v>
      </c>
      <c r="C8" s="18"/>
      <c r="D8" s="17" t="s">
        <v>87</v>
      </c>
      <c r="E8" s="17"/>
      <c r="F8" s="17">
        <v>1</v>
      </c>
      <c r="G8" s="17" t="s">
        <v>13</v>
      </c>
      <c r="H8" s="17">
        <v>10</v>
      </c>
      <c r="I8" s="18"/>
      <c r="J8" s="17"/>
    </row>
    <row r="9" spans="1:13" ht="30" customHeight="1" x14ac:dyDescent="0.25">
      <c r="A9" s="17" t="s">
        <v>17</v>
      </c>
      <c r="B9" s="18" t="s">
        <v>737</v>
      </c>
      <c r="C9" s="18"/>
      <c r="D9" s="17" t="s">
        <v>90</v>
      </c>
      <c r="E9" s="17"/>
      <c r="F9" s="17">
        <v>1</v>
      </c>
      <c r="G9" s="17" t="s">
        <v>13</v>
      </c>
      <c r="H9" s="17">
        <v>8</v>
      </c>
      <c r="I9" s="18"/>
      <c r="J9" s="17"/>
    </row>
    <row r="10" spans="1:13" ht="30" customHeight="1" x14ac:dyDescent="0.25">
      <c r="A10" s="17" t="s">
        <v>18</v>
      </c>
      <c r="B10" s="18" t="s">
        <v>738</v>
      </c>
      <c r="C10" s="18"/>
      <c r="D10" s="17" t="s">
        <v>143</v>
      </c>
      <c r="E10" s="17"/>
      <c r="F10" s="17">
        <v>1</v>
      </c>
      <c r="G10" s="17" t="s">
        <v>13</v>
      </c>
      <c r="H10" s="17">
        <v>6</v>
      </c>
      <c r="I10" s="18"/>
      <c r="J10" s="17"/>
    </row>
    <row r="11" spans="1:13" ht="30" customHeight="1" x14ac:dyDescent="0.25">
      <c r="A11" s="17" t="s">
        <v>20</v>
      </c>
      <c r="B11" s="18" t="s">
        <v>739</v>
      </c>
      <c r="C11" s="18"/>
      <c r="D11" s="17" t="s">
        <v>211</v>
      </c>
      <c r="E11" s="17"/>
      <c r="F11" s="17">
        <v>3</v>
      </c>
      <c r="G11" s="17" t="s">
        <v>13</v>
      </c>
      <c r="H11" s="17">
        <v>8</v>
      </c>
      <c r="I11" s="18"/>
      <c r="J11" s="17"/>
    </row>
    <row r="12" spans="1:13" ht="30" customHeight="1" x14ac:dyDescent="0.25">
      <c r="A12" s="17" t="s">
        <v>22</v>
      </c>
      <c r="B12" s="18" t="s">
        <v>740</v>
      </c>
      <c r="C12" s="18"/>
      <c r="D12" s="17" t="s">
        <v>89</v>
      </c>
      <c r="E12" s="17"/>
      <c r="F12" s="17">
        <v>2</v>
      </c>
      <c r="G12" s="17" t="s">
        <v>13</v>
      </c>
      <c r="H12" s="17">
        <v>8</v>
      </c>
      <c r="I12" s="18"/>
      <c r="J12" s="17"/>
    </row>
    <row r="13" spans="1:13" ht="30" customHeight="1" x14ac:dyDescent="0.25">
      <c r="A13" s="17" t="s">
        <v>23</v>
      </c>
      <c r="B13" s="18" t="s">
        <v>616</v>
      </c>
      <c r="C13" s="18"/>
      <c r="D13" s="17"/>
      <c r="E13" s="17"/>
      <c r="F13" s="17">
        <v>1</v>
      </c>
      <c r="G13" s="17" t="s">
        <v>13</v>
      </c>
      <c r="H13" s="17">
        <v>10</v>
      </c>
      <c r="I13" s="18"/>
      <c r="J13" s="17"/>
    </row>
    <row r="14" spans="1:13" ht="30" customHeight="1" x14ac:dyDescent="0.25">
      <c r="A14" s="49" t="s">
        <v>439</v>
      </c>
      <c r="B14" s="50"/>
      <c r="C14" s="50"/>
      <c r="D14" s="50"/>
      <c r="E14" s="50"/>
      <c r="F14" s="50"/>
      <c r="G14" s="50"/>
      <c r="H14" s="50"/>
      <c r="I14" s="50"/>
      <c r="J14" s="50"/>
      <c r="M14" s="19"/>
    </row>
    <row r="15" spans="1:13" ht="30" customHeight="1" x14ac:dyDescent="0.25">
      <c r="A15" s="17" t="s">
        <v>24</v>
      </c>
      <c r="B15" s="18" t="s">
        <v>741</v>
      </c>
      <c r="C15" s="18"/>
      <c r="D15" s="17"/>
      <c r="E15" s="17" t="s">
        <v>27</v>
      </c>
      <c r="F15" s="17"/>
      <c r="G15" s="17" t="s">
        <v>13</v>
      </c>
      <c r="H15" s="17">
        <v>10</v>
      </c>
      <c r="I15" s="18"/>
      <c r="J15" s="17"/>
    </row>
    <row r="16" spans="1:13" ht="30" customHeight="1" x14ac:dyDescent="0.25">
      <c r="A16" s="17" t="s">
        <v>25</v>
      </c>
      <c r="B16" s="18" t="s">
        <v>617</v>
      </c>
      <c r="C16" s="18"/>
      <c r="D16" s="17"/>
      <c r="E16" s="17"/>
      <c r="F16" s="17"/>
      <c r="G16" s="17" t="s">
        <v>13</v>
      </c>
      <c r="H16" s="17">
        <v>6</v>
      </c>
      <c r="I16" s="18"/>
      <c r="J16" s="17"/>
    </row>
    <row r="17" spans="1:10" ht="30" customHeight="1" x14ac:dyDescent="0.25">
      <c r="A17" s="17" t="s">
        <v>26</v>
      </c>
      <c r="B17" s="18" t="s">
        <v>921</v>
      </c>
      <c r="C17" s="18"/>
      <c r="D17" s="17" t="s">
        <v>187</v>
      </c>
      <c r="E17" s="17"/>
      <c r="F17" s="17">
        <v>1</v>
      </c>
      <c r="G17" s="17" t="s">
        <v>13</v>
      </c>
      <c r="H17" s="17">
        <v>8</v>
      </c>
      <c r="I17" s="18"/>
      <c r="J17" s="17"/>
    </row>
    <row r="18" spans="1:10" ht="30" customHeight="1" x14ac:dyDescent="0.25">
      <c r="A18" s="17" t="s">
        <v>28</v>
      </c>
      <c r="B18" s="18" t="s">
        <v>922</v>
      </c>
      <c r="C18" s="18"/>
      <c r="D18" s="17" t="s">
        <v>205</v>
      </c>
      <c r="E18" s="17"/>
      <c r="F18" s="17">
        <v>3</v>
      </c>
      <c r="G18" s="17" t="s">
        <v>13</v>
      </c>
      <c r="H18" s="17">
        <v>12</v>
      </c>
      <c r="I18" s="18"/>
      <c r="J18" s="17"/>
    </row>
    <row r="19" spans="1:10" ht="30" customHeight="1" x14ac:dyDescent="0.25">
      <c r="A19" s="17" t="s">
        <v>29</v>
      </c>
      <c r="B19" s="18" t="s">
        <v>923</v>
      </c>
      <c r="C19" s="18"/>
      <c r="D19" s="17" t="s">
        <v>206</v>
      </c>
      <c r="E19" s="17"/>
      <c r="F19" s="17">
        <v>1</v>
      </c>
      <c r="G19" s="17" t="s">
        <v>13</v>
      </c>
      <c r="H19" s="17">
        <v>8</v>
      </c>
      <c r="I19" s="18"/>
      <c r="J19" s="17"/>
    </row>
    <row r="20" spans="1:10" ht="30" customHeight="1" x14ac:dyDescent="0.25">
      <c r="A20" s="17" t="s">
        <v>30</v>
      </c>
      <c r="B20" s="18" t="s">
        <v>924</v>
      </c>
      <c r="C20" s="18"/>
      <c r="D20" s="17" t="s">
        <v>188</v>
      </c>
      <c r="E20" s="17"/>
      <c r="F20" s="17">
        <v>1</v>
      </c>
      <c r="G20" s="17" t="s">
        <v>13</v>
      </c>
      <c r="H20" s="17">
        <v>6</v>
      </c>
      <c r="I20" s="18"/>
      <c r="J20" s="17"/>
    </row>
    <row r="21" spans="1:10" ht="30" customHeight="1" x14ac:dyDescent="0.25">
      <c r="A21" s="17" t="s">
        <v>31</v>
      </c>
      <c r="B21" s="18" t="s">
        <v>926</v>
      </c>
      <c r="C21" s="18"/>
      <c r="D21" s="17" t="s">
        <v>190</v>
      </c>
      <c r="E21" s="17"/>
      <c r="F21" s="17">
        <v>3</v>
      </c>
      <c r="G21" s="17" t="s">
        <v>13</v>
      </c>
      <c r="H21" s="17">
        <v>10</v>
      </c>
      <c r="I21" s="18"/>
      <c r="J21" s="17"/>
    </row>
    <row r="22" spans="1:10" ht="30" customHeight="1" x14ac:dyDescent="0.25">
      <c r="A22" s="17" t="s">
        <v>32</v>
      </c>
      <c r="B22" s="18" t="s">
        <v>925</v>
      </c>
      <c r="C22" s="18"/>
      <c r="D22" s="17" t="s">
        <v>191</v>
      </c>
      <c r="E22" s="17"/>
      <c r="F22" s="17">
        <v>1</v>
      </c>
      <c r="G22" s="17" t="s">
        <v>13</v>
      </c>
      <c r="H22" s="17">
        <v>5</v>
      </c>
      <c r="I22" s="18"/>
      <c r="J22" s="17"/>
    </row>
    <row r="23" spans="1:10" ht="30" customHeight="1" x14ac:dyDescent="0.25">
      <c r="A23" s="17" t="s">
        <v>33</v>
      </c>
      <c r="B23" s="18" t="s">
        <v>927</v>
      </c>
      <c r="C23" s="18"/>
      <c r="D23" s="17" t="s">
        <v>192</v>
      </c>
      <c r="E23" s="17"/>
      <c r="F23" s="17">
        <v>1</v>
      </c>
      <c r="G23" s="17" t="s">
        <v>13</v>
      </c>
      <c r="H23" s="17">
        <v>5</v>
      </c>
      <c r="I23" s="18"/>
      <c r="J23" s="17"/>
    </row>
    <row r="24" spans="1:10" ht="30" customHeight="1" x14ac:dyDescent="0.25">
      <c r="A24" s="17" t="s">
        <v>34</v>
      </c>
      <c r="B24" s="18" t="s">
        <v>928</v>
      </c>
      <c r="C24" s="18"/>
      <c r="D24" s="17" t="s">
        <v>193</v>
      </c>
      <c r="E24" s="17"/>
      <c r="F24" s="17">
        <v>1</v>
      </c>
      <c r="G24" s="17" t="s">
        <v>13</v>
      </c>
      <c r="H24" s="17">
        <v>4</v>
      </c>
      <c r="I24" s="18"/>
      <c r="J24" s="17"/>
    </row>
    <row r="25" spans="1:10" ht="30" customHeight="1" x14ac:dyDescent="0.25">
      <c r="A25" s="17" t="s">
        <v>36</v>
      </c>
      <c r="B25" s="18" t="s">
        <v>929</v>
      </c>
      <c r="C25" s="18"/>
      <c r="D25" s="17" t="s">
        <v>173</v>
      </c>
      <c r="E25" s="17"/>
      <c r="F25" s="17">
        <v>1</v>
      </c>
      <c r="G25" s="17" t="s">
        <v>13</v>
      </c>
      <c r="H25" s="17">
        <v>4</v>
      </c>
      <c r="I25" s="18"/>
      <c r="J25" s="17"/>
    </row>
    <row r="26" spans="1:10" ht="30" customHeight="1" x14ac:dyDescent="0.25">
      <c r="A26" s="17" t="s">
        <v>37</v>
      </c>
      <c r="B26" s="18" t="s">
        <v>930</v>
      </c>
      <c r="C26" s="18"/>
      <c r="D26" s="17" t="s">
        <v>189</v>
      </c>
      <c r="E26" s="17"/>
      <c r="F26" s="17">
        <v>2</v>
      </c>
      <c r="G26" s="17" t="s">
        <v>13</v>
      </c>
      <c r="H26" s="17">
        <v>5</v>
      </c>
      <c r="I26" s="18"/>
      <c r="J26" s="17"/>
    </row>
    <row r="27" spans="1:10" ht="30" customHeight="1" x14ac:dyDescent="0.25">
      <c r="A27" s="17" t="s">
        <v>38</v>
      </c>
      <c r="B27" s="18" t="s">
        <v>931</v>
      </c>
      <c r="C27" s="18"/>
      <c r="D27" s="17" t="s">
        <v>194</v>
      </c>
      <c r="E27" s="17"/>
      <c r="F27" s="17">
        <v>2</v>
      </c>
      <c r="G27" s="17" t="s">
        <v>13</v>
      </c>
      <c r="H27" s="17">
        <v>6</v>
      </c>
      <c r="I27" s="18"/>
      <c r="J27" s="17"/>
    </row>
    <row r="28" spans="1:10" ht="30" customHeight="1" x14ac:dyDescent="0.25">
      <c r="A28" s="17" t="s">
        <v>39</v>
      </c>
      <c r="B28" s="18" t="s">
        <v>932</v>
      </c>
      <c r="C28" s="18"/>
      <c r="D28" s="17" t="s">
        <v>198</v>
      </c>
      <c r="E28" s="17"/>
      <c r="F28" s="17">
        <v>2</v>
      </c>
      <c r="G28" s="17" t="s">
        <v>13</v>
      </c>
      <c r="H28" s="17">
        <v>5</v>
      </c>
      <c r="I28" s="18"/>
      <c r="J28" s="17"/>
    </row>
    <row r="29" spans="1:10" ht="30" customHeight="1" x14ac:dyDescent="0.25">
      <c r="A29" s="17" t="s">
        <v>40</v>
      </c>
      <c r="B29" s="18" t="s">
        <v>933</v>
      </c>
      <c r="C29" s="18"/>
      <c r="D29" s="17" t="s">
        <v>163</v>
      </c>
      <c r="E29" s="17"/>
      <c r="F29" s="17">
        <v>2</v>
      </c>
      <c r="G29" s="17" t="s">
        <v>13</v>
      </c>
      <c r="H29" s="17">
        <v>5</v>
      </c>
      <c r="I29" s="18"/>
      <c r="J29" s="17"/>
    </row>
    <row r="30" spans="1:10" ht="30" customHeight="1" x14ac:dyDescent="0.25">
      <c r="A30" s="17" t="s">
        <v>42</v>
      </c>
      <c r="B30" s="18" t="s">
        <v>934</v>
      </c>
      <c r="C30" s="18"/>
      <c r="D30" s="17" t="s">
        <v>164</v>
      </c>
      <c r="E30" s="17"/>
      <c r="F30" s="17">
        <v>2</v>
      </c>
      <c r="G30" s="17" t="s">
        <v>13</v>
      </c>
      <c r="H30" s="17">
        <v>5</v>
      </c>
      <c r="I30" s="18"/>
      <c r="J30" s="17"/>
    </row>
    <row r="31" spans="1:10" ht="30" customHeight="1" x14ac:dyDescent="0.25">
      <c r="A31" s="17" t="s">
        <v>43</v>
      </c>
      <c r="B31" s="18" t="s">
        <v>618</v>
      </c>
      <c r="C31" s="18"/>
      <c r="D31" s="17"/>
      <c r="E31" s="17"/>
      <c r="F31" s="17">
        <v>1</v>
      </c>
      <c r="G31" s="17" t="s">
        <v>13</v>
      </c>
      <c r="H31" s="17">
        <v>12</v>
      </c>
      <c r="I31" s="18"/>
      <c r="J31" s="17"/>
    </row>
    <row r="32" spans="1:10" ht="30" customHeight="1" x14ac:dyDescent="0.25">
      <c r="A32" s="49" t="s">
        <v>453</v>
      </c>
      <c r="B32" s="50"/>
      <c r="C32" s="50"/>
      <c r="D32" s="50"/>
      <c r="E32" s="50"/>
      <c r="F32" s="50"/>
      <c r="G32" s="50"/>
      <c r="H32" s="50"/>
      <c r="I32" s="50"/>
      <c r="J32" s="50"/>
    </row>
    <row r="33" spans="1:11" ht="30" customHeight="1" x14ac:dyDescent="0.25">
      <c r="A33" s="17" t="s">
        <v>45</v>
      </c>
      <c r="B33" s="18" t="s">
        <v>619</v>
      </c>
      <c r="C33" s="18"/>
      <c r="D33" s="17"/>
      <c r="E33" s="17" t="s">
        <v>41</v>
      </c>
      <c r="F33" s="17"/>
      <c r="G33" s="17" t="s">
        <v>13</v>
      </c>
      <c r="H33" s="17">
        <v>8</v>
      </c>
      <c r="I33" s="18"/>
      <c r="J33" s="17"/>
    </row>
    <row r="34" spans="1:11" ht="30" customHeight="1" x14ac:dyDescent="0.25">
      <c r="A34" s="17" t="s">
        <v>46</v>
      </c>
      <c r="B34" s="18" t="s">
        <v>742</v>
      </c>
      <c r="C34" s="18"/>
      <c r="D34" s="17" t="s">
        <v>16</v>
      </c>
      <c r="E34" s="17"/>
      <c r="F34" s="17">
        <v>1</v>
      </c>
      <c r="G34" s="17" t="s">
        <v>13</v>
      </c>
      <c r="H34" s="17">
        <v>8</v>
      </c>
      <c r="I34" s="18"/>
      <c r="J34" s="17"/>
    </row>
    <row r="35" spans="1:11" ht="30" customHeight="1" x14ac:dyDescent="0.25">
      <c r="A35" s="17" t="s">
        <v>47</v>
      </c>
      <c r="B35" s="18" t="s">
        <v>743</v>
      </c>
      <c r="C35" s="18"/>
      <c r="D35" s="17" t="s">
        <v>139</v>
      </c>
      <c r="E35" s="17"/>
      <c r="F35" s="17">
        <v>1</v>
      </c>
      <c r="G35" s="17" t="s">
        <v>13</v>
      </c>
      <c r="H35" s="17">
        <v>6</v>
      </c>
      <c r="I35" s="18"/>
      <c r="J35" s="17"/>
    </row>
    <row r="36" spans="1:11" ht="30" customHeight="1" x14ac:dyDescent="0.25">
      <c r="A36" s="17" t="s">
        <v>48</v>
      </c>
      <c r="B36" s="18" t="s">
        <v>912</v>
      </c>
      <c r="C36" s="18"/>
      <c r="D36" s="17" t="s">
        <v>178</v>
      </c>
      <c r="E36" s="17"/>
      <c r="F36" s="17">
        <v>3</v>
      </c>
      <c r="G36" s="17" t="s">
        <v>13</v>
      </c>
      <c r="H36" s="17">
        <v>8</v>
      </c>
      <c r="I36" s="18"/>
      <c r="J36" s="17"/>
    </row>
    <row r="37" spans="1:11" ht="30" customHeight="1" x14ac:dyDescent="0.25">
      <c r="A37" s="17" t="s">
        <v>49</v>
      </c>
      <c r="B37" s="18" t="s">
        <v>913</v>
      </c>
      <c r="C37" s="18"/>
      <c r="D37" s="17" t="s">
        <v>182</v>
      </c>
      <c r="E37" s="17"/>
      <c r="F37" s="17">
        <v>3</v>
      </c>
      <c r="G37" s="17" t="s">
        <v>13</v>
      </c>
      <c r="H37" s="17">
        <v>12</v>
      </c>
      <c r="I37" s="18"/>
      <c r="J37" s="17"/>
    </row>
    <row r="38" spans="1:11" ht="30" customHeight="1" x14ac:dyDescent="0.25">
      <c r="A38" s="17" t="s">
        <v>50</v>
      </c>
      <c r="B38" s="18" t="s">
        <v>908</v>
      </c>
      <c r="C38" s="18"/>
      <c r="D38" s="17" t="s">
        <v>167</v>
      </c>
      <c r="E38" s="17"/>
      <c r="F38" s="17">
        <v>2</v>
      </c>
      <c r="G38" s="17" t="s">
        <v>13</v>
      </c>
      <c r="H38" s="17">
        <v>5</v>
      </c>
      <c r="I38" s="18"/>
      <c r="J38" s="17"/>
    </row>
    <row r="39" spans="1:11" ht="30" customHeight="1" x14ac:dyDescent="0.25">
      <c r="A39" s="17" t="s">
        <v>51</v>
      </c>
      <c r="B39" s="18" t="s">
        <v>920</v>
      </c>
      <c r="C39" s="18"/>
      <c r="D39" s="17" t="s">
        <v>208</v>
      </c>
      <c r="E39" s="17"/>
      <c r="F39" s="17">
        <v>2</v>
      </c>
      <c r="G39" s="17" t="s">
        <v>13</v>
      </c>
      <c r="H39" s="17">
        <v>6</v>
      </c>
      <c r="I39" s="18"/>
      <c r="J39" s="17"/>
    </row>
    <row r="40" spans="1:11" ht="30" customHeight="1" x14ac:dyDescent="0.25">
      <c r="A40" s="17" t="s">
        <v>52</v>
      </c>
      <c r="B40" s="18" t="s">
        <v>620</v>
      </c>
      <c r="C40" s="18"/>
      <c r="D40" s="17"/>
      <c r="E40" s="17"/>
      <c r="F40" s="17">
        <v>2</v>
      </c>
      <c r="G40" s="17" t="s">
        <v>13</v>
      </c>
      <c r="H40" s="17">
        <v>8</v>
      </c>
      <c r="I40" s="18"/>
      <c r="J40" s="17"/>
    </row>
    <row r="41" spans="1:11" ht="30" customHeight="1" x14ac:dyDescent="0.25">
      <c r="A41" s="49" t="s">
        <v>462</v>
      </c>
      <c r="B41" s="50"/>
      <c r="C41" s="50"/>
      <c r="D41" s="50"/>
      <c r="E41" s="50"/>
      <c r="F41" s="50"/>
      <c r="G41" s="50"/>
      <c r="H41" s="50"/>
      <c r="I41" s="50"/>
      <c r="J41" s="50"/>
    </row>
    <row r="42" spans="1:11" ht="30" customHeight="1" x14ac:dyDescent="0.25">
      <c r="A42" s="17" t="s">
        <v>53</v>
      </c>
      <c r="B42" s="18" t="s">
        <v>621</v>
      </c>
      <c r="C42" s="18"/>
      <c r="D42" s="17"/>
      <c r="E42" s="17" t="s">
        <v>461</v>
      </c>
      <c r="F42" s="17"/>
      <c r="G42" s="17" t="s">
        <v>13</v>
      </c>
      <c r="H42" s="17">
        <v>6</v>
      </c>
      <c r="I42" s="18"/>
      <c r="J42" s="17"/>
    </row>
    <row r="43" spans="1:11" ht="30" customHeight="1" x14ac:dyDescent="0.25">
      <c r="A43" s="17" t="s">
        <v>54</v>
      </c>
      <c r="B43" s="18" t="s">
        <v>766</v>
      </c>
      <c r="C43" s="18"/>
      <c r="D43" s="17" t="s">
        <v>19</v>
      </c>
      <c r="E43" s="17"/>
      <c r="F43" s="17">
        <v>1</v>
      </c>
      <c r="G43" s="17" t="s">
        <v>13</v>
      </c>
      <c r="H43" s="17">
        <v>6</v>
      </c>
      <c r="I43" s="18"/>
      <c r="J43" s="17"/>
      <c r="K43" s="20"/>
    </row>
    <row r="44" spans="1:11" ht="30" customHeight="1" x14ac:dyDescent="0.25">
      <c r="A44" s="17" t="s">
        <v>55</v>
      </c>
      <c r="B44" s="18" t="s">
        <v>767</v>
      </c>
      <c r="C44" s="18"/>
      <c r="D44" s="17" t="s">
        <v>137</v>
      </c>
      <c r="E44" s="17"/>
      <c r="F44" s="17">
        <v>1</v>
      </c>
      <c r="G44" s="17" t="s">
        <v>13</v>
      </c>
      <c r="H44" s="17">
        <v>10</v>
      </c>
      <c r="I44" s="18"/>
      <c r="J44" s="17"/>
      <c r="K44" s="20"/>
    </row>
    <row r="45" spans="1:11" ht="30" customHeight="1" x14ac:dyDescent="0.25">
      <c r="A45" s="17" t="s">
        <v>56</v>
      </c>
      <c r="B45" s="18" t="s">
        <v>768</v>
      </c>
      <c r="C45" s="18"/>
      <c r="D45" s="17" t="s">
        <v>138</v>
      </c>
      <c r="E45" s="17"/>
      <c r="F45" s="17">
        <v>3</v>
      </c>
      <c r="G45" s="17" t="s">
        <v>13</v>
      </c>
      <c r="H45" s="17">
        <v>8</v>
      </c>
      <c r="I45" s="18"/>
      <c r="J45" s="17"/>
      <c r="K45" s="20"/>
    </row>
    <row r="46" spans="1:11" ht="30" customHeight="1" x14ac:dyDescent="0.25">
      <c r="A46" s="17" t="s">
        <v>57</v>
      </c>
      <c r="B46" s="18" t="s">
        <v>769</v>
      </c>
      <c r="C46" s="18"/>
      <c r="D46" s="17" t="s">
        <v>158</v>
      </c>
      <c r="E46" s="17"/>
      <c r="F46" s="17">
        <v>2</v>
      </c>
      <c r="G46" s="17" t="s">
        <v>13</v>
      </c>
      <c r="H46" s="17">
        <v>6</v>
      </c>
      <c r="I46" s="18"/>
      <c r="J46" s="17"/>
      <c r="K46" s="20"/>
    </row>
    <row r="47" spans="1:11" ht="30" customHeight="1" x14ac:dyDescent="0.25">
      <c r="A47" s="17" t="s">
        <v>58</v>
      </c>
      <c r="B47" s="18" t="s">
        <v>770</v>
      </c>
      <c r="C47" s="18"/>
      <c r="D47" s="17" t="s">
        <v>135</v>
      </c>
      <c r="E47" s="17"/>
      <c r="F47" s="17">
        <v>2</v>
      </c>
      <c r="G47" s="17" t="s">
        <v>13</v>
      </c>
      <c r="H47" s="17">
        <v>6</v>
      </c>
      <c r="I47" s="18"/>
      <c r="J47" s="17"/>
      <c r="K47" s="20"/>
    </row>
    <row r="48" spans="1:11" ht="30" customHeight="1" x14ac:dyDescent="0.25">
      <c r="A48" s="17" t="s">
        <v>59</v>
      </c>
      <c r="B48" s="18" t="s">
        <v>622</v>
      </c>
      <c r="C48" s="18"/>
      <c r="D48" s="17"/>
      <c r="E48" s="17"/>
      <c r="F48" s="17">
        <v>1</v>
      </c>
      <c r="G48" s="17" t="s">
        <v>13</v>
      </c>
      <c r="H48" s="17">
        <v>8</v>
      </c>
      <c r="I48" s="18"/>
      <c r="J48" s="17"/>
    </row>
    <row r="49" spans="1:11" ht="30" customHeight="1" x14ac:dyDescent="0.4">
      <c r="A49" s="46" t="s">
        <v>474</v>
      </c>
      <c r="B49" s="47"/>
      <c r="C49" s="47"/>
      <c r="D49" s="47"/>
      <c r="E49" s="47"/>
      <c r="F49" s="47"/>
      <c r="G49" s="47"/>
      <c r="H49" s="47"/>
      <c r="I49" s="47"/>
      <c r="J49" s="47"/>
    </row>
    <row r="50" spans="1:11" ht="30" customHeight="1" x14ac:dyDescent="0.25">
      <c r="A50" s="17" t="s">
        <v>60</v>
      </c>
      <c r="B50" s="18" t="s">
        <v>623</v>
      </c>
      <c r="C50" s="18"/>
      <c r="D50" s="17"/>
      <c r="E50" s="17" t="s">
        <v>473</v>
      </c>
      <c r="F50" s="17"/>
      <c r="G50" s="17" t="s">
        <v>13</v>
      </c>
      <c r="H50" s="17">
        <v>6</v>
      </c>
      <c r="I50" s="18"/>
      <c r="J50" s="17"/>
    </row>
    <row r="51" spans="1:11" ht="30" customHeight="1" x14ac:dyDescent="0.25">
      <c r="A51" s="17" t="s">
        <v>61</v>
      </c>
      <c r="B51" s="18" t="s">
        <v>762</v>
      </c>
      <c r="C51" s="18"/>
      <c r="D51" s="17" t="s">
        <v>35</v>
      </c>
      <c r="E51" s="17"/>
      <c r="F51" s="17">
        <v>1</v>
      </c>
      <c r="G51" s="17" t="s">
        <v>13</v>
      </c>
      <c r="H51" s="17">
        <v>6</v>
      </c>
      <c r="I51" s="18"/>
      <c r="J51" s="17"/>
      <c r="K51" s="20"/>
    </row>
    <row r="52" spans="1:11" ht="30" customHeight="1" x14ac:dyDescent="0.25">
      <c r="A52" s="17" t="s">
        <v>62</v>
      </c>
      <c r="B52" s="18" t="s">
        <v>763</v>
      </c>
      <c r="C52" s="18"/>
      <c r="D52" s="17" t="s">
        <v>140</v>
      </c>
      <c r="E52" s="17"/>
      <c r="F52" s="17">
        <v>1</v>
      </c>
      <c r="G52" s="17" t="s">
        <v>13</v>
      </c>
      <c r="H52" s="17">
        <v>10</v>
      </c>
      <c r="I52" s="18"/>
      <c r="J52" s="17"/>
      <c r="K52" s="20"/>
    </row>
    <row r="53" spans="1:11" ht="30" customHeight="1" x14ac:dyDescent="0.25">
      <c r="A53" s="17" t="s">
        <v>63</v>
      </c>
      <c r="B53" s="18" t="s">
        <v>764</v>
      </c>
      <c r="C53" s="18"/>
      <c r="D53" s="17" t="s">
        <v>141</v>
      </c>
      <c r="E53" s="17"/>
      <c r="F53" s="17">
        <v>1</v>
      </c>
      <c r="G53" s="17" t="s">
        <v>13</v>
      </c>
      <c r="H53" s="17">
        <v>8</v>
      </c>
      <c r="I53" s="18"/>
      <c r="J53" s="17"/>
      <c r="K53" s="20"/>
    </row>
    <row r="54" spans="1:11" ht="30" customHeight="1" x14ac:dyDescent="0.25">
      <c r="A54" s="17" t="s">
        <v>64</v>
      </c>
      <c r="B54" s="18" t="s">
        <v>765</v>
      </c>
      <c r="C54" s="18"/>
      <c r="D54" s="17" t="s">
        <v>44</v>
      </c>
      <c r="E54" s="17"/>
      <c r="F54" s="17">
        <v>2</v>
      </c>
      <c r="G54" s="17" t="s">
        <v>13</v>
      </c>
      <c r="H54" s="17">
        <v>8</v>
      </c>
      <c r="I54" s="18"/>
      <c r="J54" s="17"/>
      <c r="K54" s="20"/>
    </row>
    <row r="55" spans="1:11" ht="30" customHeight="1" x14ac:dyDescent="0.25">
      <c r="A55" s="17" t="s">
        <v>65</v>
      </c>
      <c r="B55" s="18" t="s">
        <v>904</v>
      </c>
      <c r="C55" s="18"/>
      <c r="D55" s="17" t="s">
        <v>180</v>
      </c>
      <c r="E55" s="17"/>
      <c r="F55" s="17">
        <v>3</v>
      </c>
      <c r="G55" s="17" t="s">
        <v>13</v>
      </c>
      <c r="H55" s="17">
        <v>8</v>
      </c>
      <c r="I55" s="18"/>
      <c r="J55" s="17"/>
      <c r="K55" s="20"/>
    </row>
    <row r="56" spans="1:11" ht="30" customHeight="1" x14ac:dyDescent="0.25">
      <c r="A56" s="17" t="s">
        <v>66</v>
      </c>
      <c r="B56" s="18" t="s">
        <v>900</v>
      </c>
      <c r="C56" s="18"/>
      <c r="D56" s="17" t="s">
        <v>165</v>
      </c>
      <c r="E56" s="17"/>
      <c r="F56" s="17">
        <v>2</v>
      </c>
      <c r="G56" s="17" t="s">
        <v>13</v>
      </c>
      <c r="H56" s="17">
        <v>6</v>
      </c>
      <c r="I56" s="18"/>
      <c r="J56" s="17"/>
      <c r="K56" s="20"/>
    </row>
    <row r="57" spans="1:11" ht="30" customHeight="1" x14ac:dyDescent="0.25">
      <c r="A57" s="17" t="s">
        <v>67</v>
      </c>
      <c r="B57" s="18" t="s">
        <v>624</v>
      </c>
      <c r="C57" s="18"/>
      <c r="D57" s="17"/>
      <c r="E57" s="17"/>
      <c r="F57" s="17">
        <v>2</v>
      </c>
      <c r="G57" s="17" t="s">
        <v>13</v>
      </c>
      <c r="H57" s="17">
        <v>8</v>
      </c>
      <c r="I57" s="18"/>
      <c r="J57" s="17"/>
    </row>
    <row r="58" spans="1:11" ht="30" customHeight="1" x14ac:dyDescent="0.4">
      <c r="A58" s="46" t="s">
        <v>603</v>
      </c>
      <c r="B58" s="47"/>
      <c r="C58" s="47"/>
      <c r="D58" s="47"/>
      <c r="E58" s="47"/>
      <c r="F58" s="47"/>
      <c r="G58" s="47"/>
      <c r="H58" s="47"/>
      <c r="I58" s="47"/>
      <c r="J58" s="47"/>
    </row>
    <row r="59" spans="1:11" ht="30" customHeight="1" x14ac:dyDescent="0.25">
      <c r="A59" s="17" t="s">
        <v>68</v>
      </c>
      <c r="B59" s="18" t="s">
        <v>625</v>
      </c>
      <c r="C59" s="18"/>
      <c r="D59" s="17"/>
      <c r="E59" s="17" t="s">
        <v>485</v>
      </c>
      <c r="F59" s="17"/>
      <c r="G59" s="17" t="s">
        <v>13</v>
      </c>
      <c r="H59" s="17">
        <v>6</v>
      </c>
      <c r="I59" s="18"/>
      <c r="J59" s="17"/>
    </row>
    <row r="60" spans="1:11" ht="30" customHeight="1" x14ac:dyDescent="0.25">
      <c r="A60" s="17" t="s">
        <v>69</v>
      </c>
      <c r="B60" s="18" t="s">
        <v>757</v>
      </c>
      <c r="C60" s="18"/>
      <c r="D60" s="17" t="s">
        <v>92</v>
      </c>
      <c r="E60" s="17"/>
      <c r="F60" s="17">
        <v>1</v>
      </c>
      <c r="G60" s="17" t="s">
        <v>13</v>
      </c>
      <c r="H60" s="17">
        <v>6</v>
      </c>
      <c r="I60" s="18"/>
      <c r="J60" s="17"/>
      <c r="K60" s="20"/>
    </row>
    <row r="61" spans="1:11" ht="30" customHeight="1" x14ac:dyDescent="0.25">
      <c r="A61" s="17" t="s">
        <v>70</v>
      </c>
      <c r="B61" s="18" t="s">
        <v>758</v>
      </c>
      <c r="C61" s="18"/>
      <c r="D61" s="17" t="s">
        <v>130</v>
      </c>
      <c r="E61" s="17"/>
      <c r="F61" s="17">
        <v>1</v>
      </c>
      <c r="G61" s="17" t="s">
        <v>13</v>
      </c>
      <c r="H61" s="17">
        <v>4</v>
      </c>
      <c r="I61" s="18"/>
      <c r="J61" s="17"/>
      <c r="K61" s="20"/>
    </row>
    <row r="62" spans="1:11" ht="30" customHeight="1" x14ac:dyDescent="0.25">
      <c r="A62" s="17" t="s">
        <v>71</v>
      </c>
      <c r="B62" s="18" t="s">
        <v>759</v>
      </c>
      <c r="C62" s="18"/>
      <c r="D62" s="17" t="s">
        <v>142</v>
      </c>
      <c r="E62" s="17"/>
      <c r="F62" s="17">
        <v>1</v>
      </c>
      <c r="G62" s="17" t="s">
        <v>13</v>
      </c>
      <c r="H62" s="17">
        <v>6</v>
      </c>
      <c r="I62" s="18"/>
      <c r="J62" s="17"/>
      <c r="K62" s="20"/>
    </row>
    <row r="63" spans="1:11" ht="30" customHeight="1" x14ac:dyDescent="0.25">
      <c r="A63" s="17" t="s">
        <v>72</v>
      </c>
      <c r="B63" s="18" t="s">
        <v>760</v>
      </c>
      <c r="C63" s="18"/>
      <c r="D63" s="17" t="s">
        <v>149</v>
      </c>
      <c r="E63" s="17"/>
      <c r="F63" s="17">
        <v>1</v>
      </c>
      <c r="G63" s="17" t="s">
        <v>13</v>
      </c>
      <c r="H63" s="17">
        <v>4</v>
      </c>
      <c r="I63" s="18"/>
      <c r="J63" s="17"/>
      <c r="K63" s="20"/>
    </row>
    <row r="64" spans="1:11" ht="30" customHeight="1" x14ac:dyDescent="0.25">
      <c r="A64" s="17" t="s">
        <v>73</v>
      </c>
      <c r="B64" s="18" t="s">
        <v>761</v>
      </c>
      <c r="C64" s="18"/>
      <c r="D64" s="17" t="s">
        <v>131</v>
      </c>
      <c r="E64" s="17"/>
      <c r="F64" s="17">
        <v>2</v>
      </c>
      <c r="G64" s="17" t="s">
        <v>13</v>
      </c>
      <c r="H64" s="17">
        <v>6</v>
      </c>
      <c r="I64" s="18"/>
      <c r="J64" s="17"/>
      <c r="K64" s="20"/>
    </row>
    <row r="65" spans="1:11" ht="30" customHeight="1" x14ac:dyDescent="0.25">
      <c r="A65" s="17" t="s">
        <v>74</v>
      </c>
      <c r="B65" s="18" t="s">
        <v>909</v>
      </c>
      <c r="C65" s="18"/>
      <c r="D65" s="17" t="s">
        <v>168</v>
      </c>
      <c r="E65" s="17"/>
      <c r="F65" s="17">
        <v>2</v>
      </c>
      <c r="G65" s="17" t="s">
        <v>13</v>
      </c>
      <c r="H65" s="17">
        <v>6</v>
      </c>
      <c r="I65" s="18"/>
      <c r="J65" s="17"/>
      <c r="K65" s="20"/>
    </row>
    <row r="66" spans="1:11" ht="30" customHeight="1" x14ac:dyDescent="0.25">
      <c r="A66" s="17" t="s">
        <v>75</v>
      </c>
      <c r="B66" s="18" t="s">
        <v>911</v>
      </c>
      <c r="C66" s="18"/>
      <c r="D66" s="17" t="s">
        <v>176</v>
      </c>
      <c r="E66" s="17"/>
      <c r="F66" s="17">
        <v>2</v>
      </c>
      <c r="G66" s="17" t="s">
        <v>13</v>
      </c>
      <c r="H66" s="17">
        <v>8</v>
      </c>
      <c r="I66" s="18"/>
      <c r="J66" s="17"/>
      <c r="K66" s="20"/>
    </row>
    <row r="67" spans="1:11" ht="30" customHeight="1" x14ac:dyDescent="0.25">
      <c r="A67" s="17" t="s">
        <v>76</v>
      </c>
      <c r="B67" s="18" t="s">
        <v>896</v>
      </c>
      <c r="C67" s="18"/>
      <c r="D67" s="17" t="s">
        <v>179</v>
      </c>
      <c r="E67" s="17"/>
      <c r="F67" s="17">
        <v>2</v>
      </c>
      <c r="G67" s="17" t="s">
        <v>13</v>
      </c>
      <c r="H67" s="17">
        <v>6</v>
      </c>
      <c r="I67" s="18"/>
      <c r="J67" s="17"/>
      <c r="K67" s="20"/>
    </row>
    <row r="68" spans="1:11" ht="30" customHeight="1" x14ac:dyDescent="0.25">
      <c r="A68" s="17" t="s">
        <v>77</v>
      </c>
      <c r="B68" s="18" t="s">
        <v>897</v>
      </c>
      <c r="C68" s="18"/>
      <c r="D68" s="17" t="s">
        <v>181</v>
      </c>
      <c r="E68" s="17"/>
      <c r="F68" s="17">
        <v>2</v>
      </c>
      <c r="G68" s="17" t="s">
        <v>13</v>
      </c>
      <c r="H68" s="17">
        <v>5</v>
      </c>
      <c r="I68" s="18"/>
      <c r="J68" s="17"/>
      <c r="K68" s="20"/>
    </row>
    <row r="69" spans="1:11" ht="30" customHeight="1" x14ac:dyDescent="0.25">
      <c r="A69" s="17" t="s">
        <v>78</v>
      </c>
      <c r="B69" s="18" t="s">
        <v>916</v>
      </c>
      <c r="C69" s="18"/>
      <c r="D69" s="17" t="s">
        <v>199</v>
      </c>
      <c r="E69" s="17"/>
      <c r="F69" s="17">
        <v>2</v>
      </c>
      <c r="G69" s="17" t="s">
        <v>13</v>
      </c>
      <c r="H69" s="17">
        <v>4</v>
      </c>
      <c r="I69" s="18"/>
      <c r="J69" s="17"/>
      <c r="K69" s="20"/>
    </row>
    <row r="70" spans="1:11" ht="30" customHeight="1" x14ac:dyDescent="0.25">
      <c r="A70" s="17" t="s">
        <v>626</v>
      </c>
      <c r="B70" s="18" t="s">
        <v>910</v>
      </c>
      <c r="C70" s="18"/>
      <c r="D70" s="17" t="s">
        <v>169</v>
      </c>
      <c r="E70" s="17"/>
      <c r="F70" s="17">
        <v>3</v>
      </c>
      <c r="G70" s="17" t="s">
        <v>13</v>
      </c>
      <c r="H70" s="17">
        <v>4</v>
      </c>
      <c r="I70" s="18"/>
      <c r="J70" s="17"/>
      <c r="K70" s="20"/>
    </row>
    <row r="71" spans="1:11" ht="30" customHeight="1" x14ac:dyDescent="0.25">
      <c r="A71" s="17" t="s">
        <v>627</v>
      </c>
      <c r="B71" s="18" t="s">
        <v>914</v>
      </c>
      <c r="C71" s="18"/>
      <c r="D71" s="17" t="s">
        <v>184</v>
      </c>
      <c r="E71" s="17"/>
      <c r="F71" s="17">
        <v>3</v>
      </c>
      <c r="G71" s="17" t="s">
        <v>13</v>
      </c>
      <c r="H71" s="17">
        <v>5</v>
      </c>
      <c r="I71" s="18"/>
      <c r="J71" s="17"/>
      <c r="K71" s="20"/>
    </row>
    <row r="72" spans="1:11" ht="30" customHeight="1" x14ac:dyDescent="0.25">
      <c r="A72" s="17" t="s">
        <v>628</v>
      </c>
      <c r="B72" s="18" t="s">
        <v>629</v>
      </c>
      <c r="C72" s="18"/>
      <c r="D72" s="17"/>
      <c r="E72" s="17"/>
      <c r="F72" s="17">
        <v>2</v>
      </c>
      <c r="G72" s="17" t="s">
        <v>13</v>
      </c>
      <c r="H72" s="17">
        <v>8</v>
      </c>
      <c r="I72" s="18"/>
      <c r="J72" s="17"/>
    </row>
    <row r="73" spans="1:11" ht="30" customHeight="1" x14ac:dyDescent="0.4">
      <c r="A73" s="46" t="s">
        <v>496</v>
      </c>
      <c r="B73" s="47"/>
      <c r="C73" s="47"/>
      <c r="D73" s="47"/>
      <c r="E73" s="47"/>
      <c r="F73" s="47"/>
      <c r="G73" s="47"/>
      <c r="H73" s="47"/>
      <c r="I73" s="47"/>
      <c r="J73" s="47"/>
    </row>
    <row r="74" spans="1:11" ht="30" customHeight="1" x14ac:dyDescent="0.25">
      <c r="A74" s="17" t="s">
        <v>630</v>
      </c>
      <c r="B74" s="18" t="s">
        <v>631</v>
      </c>
      <c r="C74" s="18"/>
      <c r="D74" s="17"/>
      <c r="E74" s="17" t="s">
        <v>495</v>
      </c>
      <c r="F74" s="17"/>
      <c r="G74" s="17" t="s">
        <v>13</v>
      </c>
      <c r="H74" s="17">
        <v>6</v>
      </c>
      <c r="I74" s="18"/>
      <c r="J74" s="17"/>
    </row>
    <row r="75" spans="1:11" ht="30" customHeight="1" x14ac:dyDescent="0.25">
      <c r="A75" s="17" t="s">
        <v>632</v>
      </c>
      <c r="B75" s="18" t="s">
        <v>771</v>
      </c>
      <c r="C75" s="18"/>
      <c r="D75" s="17" t="s">
        <v>123</v>
      </c>
      <c r="E75" s="17"/>
      <c r="F75" s="17">
        <v>1</v>
      </c>
      <c r="G75" s="17" t="s">
        <v>13</v>
      </c>
      <c r="H75" s="17">
        <v>10</v>
      </c>
      <c r="I75" s="18"/>
      <c r="J75" s="17"/>
    </row>
    <row r="76" spans="1:11" ht="30" customHeight="1" x14ac:dyDescent="0.25">
      <c r="A76" s="17" t="s">
        <v>633</v>
      </c>
      <c r="B76" s="18" t="s">
        <v>772</v>
      </c>
      <c r="C76" s="18"/>
      <c r="D76" s="17" t="s">
        <v>132</v>
      </c>
      <c r="E76" s="17"/>
      <c r="F76" s="17">
        <v>1</v>
      </c>
      <c r="G76" s="17" t="s">
        <v>13</v>
      </c>
      <c r="H76" s="17">
        <v>5</v>
      </c>
      <c r="I76" s="18"/>
      <c r="J76" s="17"/>
    </row>
    <row r="77" spans="1:11" ht="30" customHeight="1" x14ac:dyDescent="0.25">
      <c r="A77" s="17" t="s">
        <v>634</v>
      </c>
      <c r="B77" s="18" t="s">
        <v>773</v>
      </c>
      <c r="C77" s="18"/>
      <c r="D77" s="17" t="s">
        <v>144</v>
      </c>
      <c r="E77" s="17"/>
      <c r="F77" s="17">
        <v>1</v>
      </c>
      <c r="G77" s="17" t="s">
        <v>13</v>
      </c>
      <c r="H77" s="17">
        <v>8</v>
      </c>
      <c r="I77" s="18"/>
      <c r="J77" s="17"/>
    </row>
    <row r="78" spans="1:11" ht="30" customHeight="1" x14ac:dyDescent="0.25">
      <c r="A78" s="17" t="s">
        <v>635</v>
      </c>
      <c r="B78" s="18" t="s">
        <v>774</v>
      </c>
      <c r="C78" s="18"/>
      <c r="D78" s="17" t="s">
        <v>145</v>
      </c>
      <c r="E78" s="17"/>
      <c r="F78" s="17">
        <v>1</v>
      </c>
      <c r="G78" s="17" t="s">
        <v>13</v>
      </c>
      <c r="H78" s="17">
        <v>5</v>
      </c>
      <c r="I78" s="18"/>
      <c r="J78" s="17"/>
    </row>
    <row r="79" spans="1:11" ht="30" customHeight="1" x14ac:dyDescent="0.25">
      <c r="A79" s="17" t="s">
        <v>636</v>
      </c>
      <c r="B79" s="18" t="s">
        <v>775</v>
      </c>
      <c r="C79" s="18"/>
      <c r="D79" s="17" t="s">
        <v>147</v>
      </c>
      <c r="E79" s="17"/>
      <c r="F79" s="17">
        <v>1</v>
      </c>
      <c r="G79" s="17" t="s">
        <v>13</v>
      </c>
      <c r="H79" s="17">
        <v>6</v>
      </c>
      <c r="I79" s="18"/>
      <c r="J79" s="17"/>
    </row>
    <row r="80" spans="1:11" ht="30" customHeight="1" x14ac:dyDescent="0.25">
      <c r="A80" s="17" t="s">
        <v>637</v>
      </c>
      <c r="B80" s="18" t="s">
        <v>776</v>
      </c>
      <c r="C80" s="18"/>
      <c r="D80" s="17" t="s">
        <v>148</v>
      </c>
      <c r="E80" s="17"/>
      <c r="F80" s="17">
        <v>3</v>
      </c>
      <c r="G80" s="17" t="s">
        <v>13</v>
      </c>
      <c r="H80" s="17">
        <v>6</v>
      </c>
      <c r="I80" s="18"/>
      <c r="J80" s="17"/>
    </row>
    <row r="81" spans="1:10" ht="30" customHeight="1" x14ac:dyDescent="0.25">
      <c r="A81" s="17" t="s">
        <v>638</v>
      </c>
      <c r="B81" s="18" t="s">
        <v>777</v>
      </c>
      <c r="C81" s="18"/>
      <c r="D81" s="17" t="s">
        <v>21</v>
      </c>
      <c r="E81" s="17"/>
      <c r="F81" s="17">
        <v>2</v>
      </c>
      <c r="G81" s="17" t="s">
        <v>13</v>
      </c>
      <c r="H81" s="17">
        <v>4</v>
      </c>
      <c r="I81" s="18"/>
      <c r="J81" s="17"/>
    </row>
    <row r="82" spans="1:10" ht="30" customHeight="1" x14ac:dyDescent="0.25">
      <c r="A82" s="17" t="s">
        <v>639</v>
      </c>
      <c r="B82" s="18" t="s">
        <v>778</v>
      </c>
      <c r="C82" s="18"/>
      <c r="D82" s="17" t="s">
        <v>155</v>
      </c>
      <c r="E82" s="17"/>
      <c r="F82" s="17">
        <v>2</v>
      </c>
      <c r="G82" s="17" t="s">
        <v>13</v>
      </c>
      <c r="H82" s="17">
        <v>4</v>
      </c>
      <c r="I82" s="18"/>
      <c r="J82" s="17"/>
    </row>
    <row r="83" spans="1:10" ht="30" customHeight="1" x14ac:dyDescent="0.25">
      <c r="A83" s="17" t="s">
        <v>640</v>
      </c>
      <c r="B83" s="18" t="s">
        <v>779</v>
      </c>
      <c r="C83" s="18"/>
      <c r="D83" s="17" t="s">
        <v>146</v>
      </c>
      <c r="E83" s="17"/>
      <c r="F83" s="17">
        <v>2</v>
      </c>
      <c r="G83" s="17" t="s">
        <v>13</v>
      </c>
      <c r="H83" s="17">
        <v>4</v>
      </c>
      <c r="I83" s="18"/>
      <c r="J83" s="17"/>
    </row>
    <row r="84" spans="1:10" ht="30" customHeight="1" x14ac:dyDescent="0.25">
      <c r="A84" s="17" t="s">
        <v>641</v>
      </c>
      <c r="B84" s="18" t="s">
        <v>642</v>
      </c>
      <c r="C84" s="18"/>
      <c r="D84" s="17"/>
      <c r="E84" s="17"/>
      <c r="F84" s="17">
        <v>2</v>
      </c>
      <c r="G84" s="17" t="s">
        <v>13</v>
      </c>
      <c r="H84" s="17">
        <v>8</v>
      </c>
      <c r="I84" s="18"/>
      <c r="J84" s="17"/>
    </row>
    <row r="85" spans="1:10" ht="30" customHeight="1" x14ac:dyDescent="0.4">
      <c r="A85" s="46" t="s">
        <v>516</v>
      </c>
      <c r="B85" s="47"/>
      <c r="C85" s="47"/>
      <c r="D85" s="47"/>
      <c r="E85" s="47"/>
      <c r="F85" s="47"/>
      <c r="G85" s="47"/>
      <c r="H85" s="47"/>
      <c r="I85" s="47"/>
      <c r="J85" s="47"/>
    </row>
    <row r="86" spans="1:10" ht="30" customHeight="1" x14ac:dyDescent="0.25">
      <c r="A86" s="17" t="s">
        <v>643</v>
      </c>
      <c r="B86" s="18" t="s">
        <v>644</v>
      </c>
      <c r="C86" s="18"/>
      <c r="D86" s="17"/>
      <c r="E86" s="17" t="s">
        <v>515</v>
      </c>
      <c r="F86" s="17"/>
      <c r="G86" s="17" t="s">
        <v>13</v>
      </c>
      <c r="H86" s="17">
        <v>5</v>
      </c>
      <c r="I86" s="18"/>
      <c r="J86" s="17"/>
    </row>
    <row r="87" spans="1:10" ht="30" customHeight="1" x14ac:dyDescent="0.25">
      <c r="A87" s="17" t="s">
        <v>645</v>
      </c>
      <c r="B87" s="18" t="s">
        <v>780</v>
      </c>
      <c r="C87" s="18"/>
      <c r="D87" s="17" t="s">
        <v>94</v>
      </c>
      <c r="E87" s="17"/>
      <c r="F87" s="17">
        <v>1</v>
      </c>
      <c r="G87" s="17" t="s">
        <v>13</v>
      </c>
      <c r="H87" s="17">
        <v>5</v>
      </c>
      <c r="I87" s="18"/>
      <c r="J87" s="17"/>
    </row>
    <row r="88" spans="1:10" ht="30" customHeight="1" x14ac:dyDescent="0.25">
      <c r="A88" s="17" t="s">
        <v>646</v>
      </c>
      <c r="B88" s="18" t="s">
        <v>781</v>
      </c>
      <c r="C88" s="18"/>
      <c r="D88" s="17" t="s">
        <v>154</v>
      </c>
      <c r="E88" s="17"/>
      <c r="F88" s="17">
        <v>1</v>
      </c>
      <c r="G88" s="17" t="s">
        <v>13</v>
      </c>
      <c r="H88" s="17">
        <v>8</v>
      </c>
      <c r="I88" s="18"/>
      <c r="J88" s="17"/>
    </row>
    <row r="89" spans="1:10" ht="30" customHeight="1" x14ac:dyDescent="0.25">
      <c r="A89" s="17" t="s">
        <v>647</v>
      </c>
      <c r="B89" s="18" t="s">
        <v>782</v>
      </c>
      <c r="C89" s="18"/>
      <c r="D89" s="17" t="s">
        <v>153</v>
      </c>
      <c r="E89" s="17"/>
      <c r="F89" s="17">
        <v>1</v>
      </c>
      <c r="G89" s="17" t="s">
        <v>13</v>
      </c>
      <c r="H89" s="17">
        <v>5</v>
      </c>
      <c r="I89" s="18"/>
      <c r="J89" s="17"/>
    </row>
    <row r="90" spans="1:10" ht="30" customHeight="1" x14ac:dyDescent="0.25">
      <c r="A90" s="17" t="s">
        <v>648</v>
      </c>
      <c r="B90" s="18" t="s">
        <v>783</v>
      </c>
      <c r="C90" s="18"/>
      <c r="D90" s="17" t="s">
        <v>136</v>
      </c>
      <c r="E90" s="17"/>
      <c r="F90" s="17">
        <v>2</v>
      </c>
      <c r="G90" s="17" t="s">
        <v>13</v>
      </c>
      <c r="H90" s="17">
        <v>6</v>
      </c>
      <c r="I90" s="18"/>
      <c r="J90" s="17"/>
    </row>
    <row r="91" spans="1:10" ht="30" customHeight="1" x14ac:dyDescent="0.25">
      <c r="A91" s="17" t="s">
        <v>649</v>
      </c>
      <c r="B91" s="18" t="s">
        <v>784</v>
      </c>
      <c r="C91" s="18"/>
      <c r="D91" s="17" t="s">
        <v>134</v>
      </c>
      <c r="E91" s="17"/>
      <c r="F91" s="17">
        <v>2</v>
      </c>
      <c r="G91" s="17" t="s">
        <v>13</v>
      </c>
      <c r="H91" s="17">
        <v>4</v>
      </c>
      <c r="I91" s="18"/>
      <c r="J91" s="17"/>
    </row>
    <row r="92" spans="1:10" ht="30" customHeight="1" x14ac:dyDescent="0.25">
      <c r="A92" s="17" t="s">
        <v>650</v>
      </c>
      <c r="B92" s="18" t="s">
        <v>651</v>
      </c>
      <c r="C92" s="18"/>
      <c r="D92" s="17"/>
      <c r="E92" s="17"/>
      <c r="F92" s="17">
        <v>2</v>
      </c>
      <c r="G92" s="17" t="s">
        <v>13</v>
      </c>
      <c r="H92" s="17">
        <v>6</v>
      </c>
      <c r="I92" s="18"/>
      <c r="J92" s="17"/>
    </row>
    <row r="93" spans="1:10" ht="30" customHeight="1" x14ac:dyDescent="0.4">
      <c r="A93" s="46" t="s">
        <v>528</v>
      </c>
      <c r="B93" s="47"/>
      <c r="C93" s="47"/>
      <c r="D93" s="47"/>
      <c r="E93" s="47"/>
      <c r="F93" s="47"/>
      <c r="G93" s="47"/>
      <c r="H93" s="47"/>
      <c r="I93" s="47"/>
      <c r="J93" s="47"/>
    </row>
    <row r="94" spans="1:10" ht="30" customHeight="1" x14ac:dyDescent="0.25">
      <c r="A94" s="17" t="s">
        <v>652</v>
      </c>
      <c r="B94" s="18" t="s">
        <v>653</v>
      </c>
      <c r="C94" s="18"/>
      <c r="D94" s="17"/>
      <c r="E94" s="17" t="s">
        <v>527</v>
      </c>
      <c r="F94" s="17"/>
      <c r="G94" s="17" t="s">
        <v>13</v>
      </c>
      <c r="H94" s="17">
        <v>6</v>
      </c>
      <c r="I94" s="18"/>
      <c r="J94" s="17"/>
    </row>
    <row r="95" spans="1:10" ht="30" customHeight="1" x14ac:dyDescent="0.25">
      <c r="A95" s="17" t="s">
        <v>654</v>
      </c>
      <c r="B95" s="18" t="s">
        <v>785</v>
      </c>
      <c r="C95" s="18"/>
      <c r="D95" s="17" t="s">
        <v>124</v>
      </c>
      <c r="E95" s="17"/>
      <c r="F95" s="17">
        <v>1</v>
      </c>
      <c r="G95" s="17" t="s">
        <v>13</v>
      </c>
      <c r="H95" s="17">
        <v>6</v>
      </c>
      <c r="I95" s="18"/>
      <c r="J95" s="17"/>
    </row>
    <row r="96" spans="1:10" ht="30" customHeight="1" x14ac:dyDescent="0.25">
      <c r="A96" s="17" t="s">
        <v>655</v>
      </c>
      <c r="B96" s="18" t="s">
        <v>786</v>
      </c>
      <c r="C96" s="18"/>
      <c r="D96" s="17" t="s">
        <v>93</v>
      </c>
      <c r="E96" s="17"/>
      <c r="F96" s="17">
        <v>1</v>
      </c>
      <c r="G96" s="17" t="s">
        <v>13</v>
      </c>
      <c r="H96" s="17">
        <v>5</v>
      </c>
      <c r="I96" s="18"/>
      <c r="J96" s="17"/>
    </row>
    <row r="97" spans="1:10" ht="30" customHeight="1" x14ac:dyDescent="0.25">
      <c r="A97" s="17" t="s">
        <v>656</v>
      </c>
      <c r="B97" s="18" t="s">
        <v>787</v>
      </c>
      <c r="C97" s="18"/>
      <c r="D97" s="17" t="s">
        <v>156</v>
      </c>
      <c r="E97" s="17"/>
      <c r="F97" s="17">
        <v>1</v>
      </c>
      <c r="G97" s="17" t="s">
        <v>13</v>
      </c>
      <c r="H97" s="17">
        <v>6</v>
      </c>
      <c r="I97" s="18"/>
      <c r="J97" s="17"/>
    </row>
    <row r="98" spans="1:10" ht="30" customHeight="1" x14ac:dyDescent="0.25">
      <c r="A98" s="17" t="s">
        <v>657</v>
      </c>
      <c r="B98" s="18" t="s">
        <v>917</v>
      </c>
      <c r="C98" s="18"/>
      <c r="D98" s="17" t="s">
        <v>200</v>
      </c>
      <c r="E98" s="17"/>
      <c r="F98" s="17">
        <v>2</v>
      </c>
      <c r="G98" s="17" t="s">
        <v>13</v>
      </c>
      <c r="H98" s="17">
        <v>5</v>
      </c>
      <c r="I98" s="18"/>
      <c r="J98" s="17"/>
    </row>
    <row r="99" spans="1:10" ht="30" customHeight="1" x14ac:dyDescent="0.25">
      <c r="A99" s="17" t="s">
        <v>658</v>
      </c>
      <c r="B99" s="18" t="s">
        <v>919</v>
      </c>
      <c r="C99" s="18"/>
      <c r="D99" s="17" t="s">
        <v>207</v>
      </c>
      <c r="E99" s="17"/>
      <c r="F99" s="17">
        <v>3</v>
      </c>
      <c r="G99" s="17" t="s">
        <v>13</v>
      </c>
      <c r="H99" s="17">
        <v>4</v>
      </c>
      <c r="I99" s="18"/>
      <c r="J99" s="17"/>
    </row>
    <row r="100" spans="1:10" ht="30" customHeight="1" x14ac:dyDescent="0.25">
      <c r="A100" s="17" t="s">
        <v>659</v>
      </c>
      <c r="B100" s="18" t="s">
        <v>918</v>
      </c>
      <c r="C100" s="18"/>
      <c r="D100" s="17" t="s">
        <v>201</v>
      </c>
      <c r="E100" s="17"/>
      <c r="F100" s="17">
        <v>3</v>
      </c>
      <c r="G100" s="17" t="s">
        <v>13</v>
      </c>
      <c r="H100" s="17">
        <v>4</v>
      </c>
      <c r="I100" s="18"/>
      <c r="J100" s="17"/>
    </row>
    <row r="101" spans="1:10" ht="30" customHeight="1" x14ac:dyDescent="0.25">
      <c r="A101" s="17" t="s">
        <v>660</v>
      </c>
      <c r="B101" s="18" t="s">
        <v>661</v>
      </c>
      <c r="C101" s="18"/>
      <c r="D101" s="17"/>
      <c r="E101" s="17"/>
      <c r="F101" s="17">
        <v>2</v>
      </c>
      <c r="G101" s="17" t="s">
        <v>13</v>
      </c>
      <c r="H101" s="17">
        <v>6</v>
      </c>
      <c r="I101" s="18"/>
      <c r="J101" s="17"/>
    </row>
    <row r="102" spans="1:10" ht="30" customHeight="1" x14ac:dyDescent="0.4">
      <c r="A102" s="46" t="s">
        <v>539</v>
      </c>
      <c r="B102" s="47"/>
      <c r="C102" s="47"/>
      <c r="D102" s="47"/>
      <c r="E102" s="47"/>
      <c r="F102" s="47"/>
      <c r="G102" s="47"/>
      <c r="H102" s="47"/>
      <c r="I102" s="47"/>
      <c r="J102" s="47"/>
    </row>
    <row r="103" spans="1:10" ht="30" customHeight="1" x14ac:dyDescent="0.25">
      <c r="A103" s="17" t="s">
        <v>662</v>
      </c>
      <c r="B103" s="18" t="s">
        <v>663</v>
      </c>
      <c r="C103" s="18"/>
      <c r="D103" s="17"/>
      <c r="E103" s="17" t="s">
        <v>538</v>
      </c>
      <c r="F103" s="17"/>
      <c r="G103" s="17" t="s">
        <v>13</v>
      </c>
      <c r="H103" s="17">
        <v>5</v>
      </c>
      <c r="I103" s="18"/>
      <c r="J103" s="17"/>
    </row>
    <row r="104" spans="1:10" ht="30" customHeight="1" x14ac:dyDescent="0.25">
      <c r="A104" s="17" t="s">
        <v>664</v>
      </c>
      <c r="B104" s="18" t="s">
        <v>788</v>
      </c>
      <c r="C104" s="18"/>
      <c r="D104" s="17" t="s">
        <v>125</v>
      </c>
      <c r="E104" s="17"/>
      <c r="F104" s="17">
        <v>1</v>
      </c>
      <c r="G104" s="17" t="s">
        <v>13</v>
      </c>
      <c r="H104" s="17">
        <v>5</v>
      </c>
      <c r="I104" s="18"/>
      <c r="J104" s="17"/>
    </row>
    <row r="105" spans="1:10" ht="30" customHeight="1" x14ac:dyDescent="0.25">
      <c r="A105" s="17" t="s">
        <v>665</v>
      </c>
      <c r="B105" s="18" t="s">
        <v>789</v>
      </c>
      <c r="C105" s="18"/>
      <c r="D105" s="17" t="s">
        <v>151</v>
      </c>
      <c r="E105" s="17"/>
      <c r="F105" s="17">
        <v>1</v>
      </c>
      <c r="G105" s="17" t="s">
        <v>13</v>
      </c>
      <c r="H105" s="17">
        <v>6</v>
      </c>
      <c r="I105" s="18"/>
      <c r="J105" s="17"/>
    </row>
    <row r="106" spans="1:10" ht="30" customHeight="1" x14ac:dyDescent="0.25">
      <c r="A106" s="17" t="s">
        <v>666</v>
      </c>
      <c r="B106" s="18" t="s">
        <v>894</v>
      </c>
      <c r="C106" s="18"/>
      <c r="D106" s="17" t="s">
        <v>170</v>
      </c>
      <c r="E106" s="17"/>
      <c r="F106" s="17">
        <v>1</v>
      </c>
      <c r="G106" s="17" t="s">
        <v>13</v>
      </c>
      <c r="H106" s="17">
        <v>6</v>
      </c>
      <c r="I106" s="18"/>
      <c r="J106" s="17"/>
    </row>
    <row r="107" spans="1:10" ht="30" customHeight="1" x14ac:dyDescent="0.25">
      <c r="A107" s="17" t="s">
        <v>667</v>
      </c>
      <c r="B107" s="18" t="s">
        <v>790</v>
      </c>
      <c r="C107" s="18"/>
      <c r="D107" s="17" t="s">
        <v>133</v>
      </c>
      <c r="E107" s="17"/>
      <c r="F107" s="17">
        <v>2</v>
      </c>
      <c r="G107" s="17" t="s">
        <v>13</v>
      </c>
      <c r="H107" s="17">
        <v>4</v>
      </c>
      <c r="I107" s="18"/>
      <c r="J107" s="17"/>
    </row>
    <row r="108" spans="1:10" ht="30" customHeight="1" x14ac:dyDescent="0.25">
      <c r="A108" s="17" t="s">
        <v>668</v>
      </c>
      <c r="B108" s="18" t="s">
        <v>791</v>
      </c>
      <c r="C108" s="18"/>
      <c r="D108" s="17" t="s">
        <v>152</v>
      </c>
      <c r="E108" s="17"/>
      <c r="F108" s="17">
        <v>2</v>
      </c>
      <c r="G108" s="17" t="s">
        <v>13</v>
      </c>
      <c r="H108" s="17">
        <v>3</v>
      </c>
      <c r="I108" s="18"/>
      <c r="J108" s="17"/>
    </row>
    <row r="109" spans="1:10" ht="30" customHeight="1" x14ac:dyDescent="0.25">
      <c r="A109" s="17" t="s">
        <v>669</v>
      </c>
      <c r="B109" s="18" t="s">
        <v>792</v>
      </c>
      <c r="C109" s="18"/>
      <c r="D109" s="17" t="s">
        <v>203</v>
      </c>
      <c r="E109" s="17"/>
      <c r="F109" s="17">
        <v>2</v>
      </c>
      <c r="G109" s="17" t="s">
        <v>13</v>
      </c>
      <c r="H109" s="17">
        <v>4</v>
      </c>
      <c r="I109" s="18"/>
      <c r="J109" s="17"/>
    </row>
    <row r="110" spans="1:10" ht="30" customHeight="1" x14ac:dyDescent="0.25">
      <c r="A110" s="17" t="s">
        <v>670</v>
      </c>
      <c r="B110" s="18" t="s">
        <v>793</v>
      </c>
      <c r="C110" s="18"/>
      <c r="D110" s="17" t="s">
        <v>209</v>
      </c>
      <c r="E110" s="17"/>
      <c r="F110" s="17">
        <v>2</v>
      </c>
      <c r="G110" s="17" t="s">
        <v>13</v>
      </c>
      <c r="H110" s="17">
        <v>5</v>
      </c>
      <c r="I110" s="18"/>
      <c r="J110" s="17"/>
    </row>
    <row r="111" spans="1:10" ht="30" customHeight="1" x14ac:dyDescent="0.25">
      <c r="A111" s="17" t="s">
        <v>671</v>
      </c>
      <c r="B111" s="18" t="s">
        <v>672</v>
      </c>
      <c r="C111" s="18"/>
      <c r="D111" s="17"/>
      <c r="E111" s="17"/>
      <c r="F111" s="17">
        <v>2</v>
      </c>
      <c r="G111" s="17" t="s">
        <v>13</v>
      </c>
      <c r="H111" s="17">
        <v>6</v>
      </c>
      <c r="I111" s="18"/>
      <c r="J111" s="17"/>
    </row>
    <row r="112" spans="1:10" ht="30" customHeight="1" x14ac:dyDescent="0.4">
      <c r="A112" s="46" t="s">
        <v>550</v>
      </c>
      <c r="B112" s="47"/>
      <c r="C112" s="47"/>
      <c r="D112" s="47"/>
      <c r="E112" s="47"/>
      <c r="F112" s="47"/>
      <c r="G112" s="47"/>
      <c r="H112" s="47"/>
      <c r="I112" s="47"/>
      <c r="J112" s="47"/>
    </row>
    <row r="113" spans="1:10" ht="30" customHeight="1" x14ac:dyDescent="0.25">
      <c r="A113" s="17" t="s">
        <v>673</v>
      </c>
      <c r="B113" s="18" t="s">
        <v>674</v>
      </c>
      <c r="C113" s="18"/>
      <c r="D113" s="17"/>
      <c r="E113" s="17" t="s">
        <v>549</v>
      </c>
      <c r="F113" s="17"/>
      <c r="G113" s="17" t="s">
        <v>13</v>
      </c>
      <c r="H113" s="17">
        <v>5</v>
      </c>
      <c r="I113" s="18"/>
      <c r="J113" s="17"/>
    </row>
    <row r="114" spans="1:10" ht="30" customHeight="1" x14ac:dyDescent="0.25">
      <c r="A114" s="17" t="s">
        <v>675</v>
      </c>
      <c r="B114" s="18" t="s">
        <v>753</v>
      </c>
      <c r="C114" s="18"/>
      <c r="D114" s="17" t="s">
        <v>126</v>
      </c>
      <c r="E114" s="17"/>
      <c r="F114" s="17">
        <v>1</v>
      </c>
      <c r="G114" s="17" t="s">
        <v>13</v>
      </c>
      <c r="H114" s="17">
        <v>6</v>
      </c>
      <c r="I114" s="18"/>
      <c r="J114" s="17"/>
    </row>
    <row r="115" spans="1:10" ht="30" customHeight="1" x14ac:dyDescent="0.25">
      <c r="A115" s="17" t="s">
        <v>676</v>
      </c>
      <c r="B115" s="18" t="s">
        <v>901</v>
      </c>
      <c r="C115" s="18"/>
      <c r="D115" s="17" t="s">
        <v>166</v>
      </c>
      <c r="E115" s="17"/>
      <c r="F115" s="17">
        <v>2</v>
      </c>
      <c r="G115" s="17" t="s">
        <v>13</v>
      </c>
      <c r="H115" s="17">
        <v>8</v>
      </c>
      <c r="I115" s="18"/>
      <c r="J115" s="17"/>
    </row>
    <row r="116" spans="1:10" ht="30" customHeight="1" x14ac:dyDescent="0.25">
      <c r="A116" s="17" t="s">
        <v>677</v>
      </c>
      <c r="B116" s="18" t="s">
        <v>754</v>
      </c>
      <c r="C116" s="18"/>
      <c r="D116" s="17" t="s">
        <v>127</v>
      </c>
      <c r="E116" s="17"/>
      <c r="F116" s="17">
        <v>2</v>
      </c>
      <c r="G116" s="17" t="s">
        <v>13</v>
      </c>
      <c r="H116" s="17">
        <v>5</v>
      </c>
      <c r="I116" s="18"/>
      <c r="J116" s="17"/>
    </row>
    <row r="117" spans="1:10" ht="30" customHeight="1" x14ac:dyDescent="0.25">
      <c r="A117" s="17" t="s">
        <v>678</v>
      </c>
      <c r="B117" s="18" t="s">
        <v>905</v>
      </c>
      <c r="C117" s="18"/>
      <c r="D117" s="17" t="s">
        <v>185</v>
      </c>
      <c r="E117" s="17"/>
      <c r="F117" s="17">
        <v>3</v>
      </c>
      <c r="G117" s="17" t="s">
        <v>13</v>
      </c>
      <c r="H117" s="17">
        <v>6</v>
      </c>
      <c r="I117" s="18"/>
      <c r="J117" s="17"/>
    </row>
    <row r="118" spans="1:10" ht="30" customHeight="1" x14ac:dyDescent="0.25">
      <c r="A118" s="17" t="s">
        <v>679</v>
      </c>
      <c r="B118" s="18" t="s">
        <v>680</v>
      </c>
      <c r="C118" s="18"/>
      <c r="D118" s="17"/>
      <c r="E118" s="17"/>
      <c r="F118" s="17">
        <v>2</v>
      </c>
      <c r="G118" s="17" t="s">
        <v>13</v>
      </c>
      <c r="H118" s="17">
        <v>6</v>
      </c>
      <c r="I118" s="18"/>
      <c r="J118" s="17"/>
    </row>
    <row r="119" spans="1:10" ht="30" customHeight="1" x14ac:dyDescent="0.4">
      <c r="A119" s="46" t="s">
        <v>558</v>
      </c>
      <c r="B119" s="47"/>
      <c r="C119" s="47"/>
      <c r="D119" s="47"/>
      <c r="E119" s="47"/>
      <c r="F119" s="47"/>
      <c r="G119" s="47"/>
      <c r="H119" s="47"/>
      <c r="I119" s="47"/>
      <c r="J119" s="47"/>
    </row>
    <row r="120" spans="1:10" ht="30" customHeight="1" x14ac:dyDescent="0.25">
      <c r="A120" s="17" t="s">
        <v>681</v>
      </c>
      <c r="B120" s="18" t="s">
        <v>682</v>
      </c>
      <c r="C120" s="18"/>
      <c r="D120" s="17"/>
      <c r="E120" s="17" t="s">
        <v>557</v>
      </c>
      <c r="F120" s="17"/>
      <c r="G120" s="17" t="s">
        <v>13</v>
      </c>
      <c r="H120" s="17">
        <v>4</v>
      </c>
      <c r="I120" s="18"/>
      <c r="J120" s="17"/>
    </row>
    <row r="121" spans="1:10" ht="30" customHeight="1" x14ac:dyDescent="0.25">
      <c r="A121" s="17" t="s">
        <v>683</v>
      </c>
      <c r="B121" s="18" t="s">
        <v>755</v>
      </c>
      <c r="C121" s="18"/>
      <c r="D121" s="17" t="s">
        <v>128</v>
      </c>
      <c r="E121" s="17"/>
      <c r="F121" s="17">
        <v>2</v>
      </c>
      <c r="G121" s="17" t="s">
        <v>13</v>
      </c>
      <c r="H121" s="17">
        <v>6</v>
      </c>
      <c r="I121" s="18"/>
      <c r="J121" s="17"/>
    </row>
    <row r="122" spans="1:10" ht="30" customHeight="1" x14ac:dyDescent="0.25">
      <c r="A122" s="17" t="s">
        <v>684</v>
      </c>
      <c r="B122" s="18" t="s">
        <v>756</v>
      </c>
      <c r="C122" s="18"/>
      <c r="D122" s="17" t="s">
        <v>129</v>
      </c>
      <c r="E122" s="17"/>
      <c r="F122" s="17">
        <v>2</v>
      </c>
      <c r="G122" s="17" t="s">
        <v>13</v>
      </c>
      <c r="H122" s="17">
        <v>4</v>
      </c>
      <c r="I122" s="18"/>
      <c r="J122" s="17"/>
    </row>
    <row r="123" spans="1:10" ht="30" customHeight="1" x14ac:dyDescent="0.25">
      <c r="A123" s="17" t="s">
        <v>685</v>
      </c>
      <c r="B123" s="18" t="s">
        <v>906</v>
      </c>
      <c r="C123" s="18"/>
      <c r="D123" s="17" t="s">
        <v>210</v>
      </c>
      <c r="E123" s="17"/>
      <c r="F123" s="17">
        <v>2</v>
      </c>
      <c r="G123" s="17" t="s">
        <v>13</v>
      </c>
      <c r="H123" s="17">
        <v>4</v>
      </c>
      <c r="I123" s="18"/>
      <c r="J123" s="17"/>
    </row>
    <row r="124" spans="1:10" ht="30" customHeight="1" x14ac:dyDescent="0.25">
      <c r="A124" s="17" t="s">
        <v>686</v>
      </c>
      <c r="B124" s="18" t="s">
        <v>687</v>
      </c>
      <c r="C124" s="18"/>
      <c r="D124" s="17"/>
      <c r="E124" s="17"/>
      <c r="F124" s="17">
        <v>2</v>
      </c>
      <c r="G124" s="17" t="s">
        <v>13</v>
      </c>
      <c r="H124" s="17">
        <v>4</v>
      </c>
      <c r="I124" s="18"/>
      <c r="J124" s="17"/>
    </row>
    <row r="125" spans="1:10" ht="30" customHeight="1" x14ac:dyDescent="0.4">
      <c r="A125" s="46" t="s">
        <v>566</v>
      </c>
      <c r="B125" s="47"/>
      <c r="C125" s="47"/>
      <c r="D125" s="47"/>
      <c r="E125" s="47"/>
      <c r="F125" s="47"/>
      <c r="G125" s="47"/>
      <c r="H125" s="47"/>
      <c r="I125" s="47"/>
      <c r="J125" s="47"/>
    </row>
    <row r="126" spans="1:10" ht="30" customHeight="1" x14ac:dyDescent="0.25">
      <c r="A126" s="17" t="s">
        <v>688</v>
      </c>
      <c r="B126" s="18" t="s">
        <v>689</v>
      </c>
      <c r="C126" s="18"/>
      <c r="D126" s="17"/>
      <c r="E126" s="17" t="s">
        <v>565</v>
      </c>
      <c r="F126" s="17"/>
      <c r="G126" s="17" t="s">
        <v>13</v>
      </c>
      <c r="H126" s="17">
        <v>6</v>
      </c>
      <c r="I126" s="18"/>
      <c r="J126" s="17"/>
    </row>
    <row r="127" spans="1:10" ht="30" customHeight="1" x14ac:dyDescent="0.25">
      <c r="A127" s="17" t="s">
        <v>690</v>
      </c>
      <c r="B127" s="18" t="s">
        <v>890</v>
      </c>
      <c r="C127" s="18"/>
      <c r="D127" s="17" t="s">
        <v>159</v>
      </c>
      <c r="E127" s="17"/>
      <c r="F127" s="17">
        <v>3</v>
      </c>
      <c r="G127" s="17" t="s">
        <v>13</v>
      </c>
      <c r="H127" s="17">
        <v>10</v>
      </c>
      <c r="I127" s="18"/>
      <c r="J127" s="17"/>
    </row>
    <row r="128" spans="1:10" ht="30" customHeight="1" x14ac:dyDescent="0.25">
      <c r="A128" s="17" t="s">
        <v>691</v>
      </c>
      <c r="B128" s="18" t="s">
        <v>891</v>
      </c>
      <c r="C128" s="18"/>
      <c r="D128" s="17" t="s">
        <v>160</v>
      </c>
      <c r="E128" s="17"/>
      <c r="F128" s="17">
        <v>3</v>
      </c>
      <c r="G128" s="17" t="s">
        <v>13</v>
      </c>
      <c r="H128" s="17">
        <v>12</v>
      </c>
      <c r="I128" s="18"/>
      <c r="J128" s="17"/>
    </row>
    <row r="129" spans="1:10" ht="30" customHeight="1" x14ac:dyDescent="0.25">
      <c r="A129" s="17" t="s">
        <v>692</v>
      </c>
      <c r="B129" s="18" t="s">
        <v>892</v>
      </c>
      <c r="C129" s="18"/>
      <c r="D129" s="17" t="s">
        <v>171</v>
      </c>
      <c r="E129" s="17"/>
      <c r="F129" s="17">
        <v>2</v>
      </c>
      <c r="G129" s="17" t="s">
        <v>13</v>
      </c>
      <c r="H129" s="17">
        <v>8</v>
      </c>
      <c r="I129" s="18"/>
      <c r="J129" s="17"/>
    </row>
    <row r="130" spans="1:10" ht="30" customHeight="1" x14ac:dyDescent="0.25">
      <c r="A130" s="17" t="s">
        <v>693</v>
      </c>
      <c r="B130" s="18" t="s">
        <v>694</v>
      </c>
      <c r="C130" s="18"/>
      <c r="D130" s="17"/>
      <c r="E130" s="17"/>
      <c r="F130" s="17">
        <v>2</v>
      </c>
      <c r="G130" s="17" t="s">
        <v>13</v>
      </c>
      <c r="H130" s="17">
        <v>8</v>
      </c>
      <c r="I130" s="18"/>
      <c r="J130" s="17"/>
    </row>
    <row r="131" spans="1:10" ht="30" customHeight="1" x14ac:dyDescent="0.4">
      <c r="A131" s="46" t="s">
        <v>573</v>
      </c>
      <c r="B131" s="47"/>
      <c r="C131" s="47"/>
      <c r="D131" s="47"/>
      <c r="E131" s="47"/>
      <c r="F131" s="47"/>
      <c r="G131" s="47"/>
      <c r="H131" s="47"/>
      <c r="I131" s="47"/>
      <c r="J131" s="47"/>
    </row>
    <row r="132" spans="1:10" ht="30" customHeight="1" x14ac:dyDescent="0.25">
      <c r="A132" s="17" t="s">
        <v>695</v>
      </c>
      <c r="B132" s="18" t="s">
        <v>696</v>
      </c>
      <c r="C132" s="18"/>
      <c r="D132" s="17"/>
      <c r="E132" s="17" t="s">
        <v>572</v>
      </c>
      <c r="F132" s="17"/>
      <c r="G132" s="17" t="s">
        <v>13</v>
      </c>
      <c r="H132" s="17">
        <v>6</v>
      </c>
      <c r="I132" s="18"/>
      <c r="J132" s="17"/>
    </row>
    <row r="133" spans="1:10" ht="30" customHeight="1" x14ac:dyDescent="0.25">
      <c r="A133" s="17" t="s">
        <v>697</v>
      </c>
      <c r="B133" s="18" t="s">
        <v>907</v>
      </c>
      <c r="C133" s="18"/>
      <c r="D133" s="17" t="s">
        <v>162</v>
      </c>
      <c r="E133" s="17"/>
      <c r="F133" s="17">
        <v>2</v>
      </c>
      <c r="G133" s="17" t="s">
        <v>13</v>
      </c>
      <c r="H133" s="17">
        <v>10</v>
      </c>
      <c r="I133" s="18"/>
      <c r="J133" s="17"/>
    </row>
    <row r="134" spans="1:10" ht="30" customHeight="1" x14ac:dyDescent="0.25">
      <c r="A134" s="17" t="s">
        <v>698</v>
      </c>
      <c r="B134" s="18" t="s">
        <v>893</v>
      </c>
      <c r="C134" s="18"/>
      <c r="D134" s="17" t="s">
        <v>177</v>
      </c>
      <c r="E134" s="17"/>
      <c r="F134" s="17">
        <v>3</v>
      </c>
      <c r="G134" s="17" t="s">
        <v>13</v>
      </c>
      <c r="H134" s="17">
        <v>8</v>
      </c>
      <c r="I134" s="18"/>
      <c r="J134" s="17"/>
    </row>
    <row r="135" spans="1:10" ht="30" customHeight="1" x14ac:dyDescent="0.25">
      <c r="A135" s="17" t="s">
        <v>699</v>
      </c>
      <c r="B135" s="18" t="s">
        <v>750</v>
      </c>
      <c r="C135" s="18"/>
      <c r="D135" s="17" t="s">
        <v>161</v>
      </c>
      <c r="E135" s="17"/>
      <c r="F135" s="17">
        <v>2</v>
      </c>
      <c r="G135" s="17" t="s">
        <v>13</v>
      </c>
      <c r="H135" s="17">
        <v>8</v>
      </c>
      <c r="I135" s="18"/>
      <c r="J135" s="17"/>
    </row>
    <row r="136" spans="1:10" ht="30" customHeight="1" x14ac:dyDescent="0.25">
      <c r="A136" s="17" t="s">
        <v>700</v>
      </c>
      <c r="B136" s="18" t="s">
        <v>751</v>
      </c>
      <c r="C136" s="18"/>
      <c r="D136" s="17" t="s">
        <v>150</v>
      </c>
      <c r="E136" s="17"/>
      <c r="F136" s="17">
        <v>2</v>
      </c>
      <c r="G136" s="17" t="s">
        <v>13</v>
      </c>
      <c r="H136" s="17">
        <v>5</v>
      </c>
      <c r="I136" s="18"/>
      <c r="J136" s="17"/>
    </row>
    <row r="137" spans="1:10" ht="30" customHeight="1" x14ac:dyDescent="0.25">
      <c r="A137" s="17" t="s">
        <v>701</v>
      </c>
      <c r="B137" s="18" t="s">
        <v>752</v>
      </c>
      <c r="C137" s="18"/>
      <c r="D137" s="17" t="s">
        <v>157</v>
      </c>
      <c r="E137" s="17"/>
      <c r="F137" s="17">
        <v>3</v>
      </c>
      <c r="G137" s="17" t="s">
        <v>13</v>
      </c>
      <c r="H137" s="17">
        <v>6</v>
      </c>
      <c r="I137" s="18"/>
      <c r="J137" s="17"/>
    </row>
    <row r="138" spans="1:10" ht="30" customHeight="1" x14ac:dyDescent="0.25">
      <c r="A138" s="17" t="s">
        <v>702</v>
      </c>
      <c r="B138" s="18" t="s">
        <v>902</v>
      </c>
      <c r="C138" s="18"/>
      <c r="D138" s="17" t="s">
        <v>172</v>
      </c>
      <c r="E138" s="17"/>
      <c r="F138" s="17">
        <v>2</v>
      </c>
      <c r="G138" s="17" t="s">
        <v>13</v>
      </c>
      <c r="H138" s="17">
        <v>5</v>
      </c>
      <c r="I138" s="18"/>
      <c r="J138" s="17"/>
    </row>
    <row r="139" spans="1:10" ht="30" customHeight="1" x14ac:dyDescent="0.25">
      <c r="A139" s="17" t="s">
        <v>703</v>
      </c>
      <c r="B139" s="18" t="s">
        <v>915</v>
      </c>
      <c r="C139" s="18"/>
      <c r="D139" s="17" t="s">
        <v>186</v>
      </c>
      <c r="E139" s="17"/>
      <c r="F139" s="17">
        <v>3</v>
      </c>
      <c r="G139" s="17" t="s">
        <v>13</v>
      </c>
      <c r="H139" s="17">
        <v>5</v>
      </c>
      <c r="I139" s="18"/>
      <c r="J139" s="17"/>
    </row>
    <row r="140" spans="1:10" ht="30" customHeight="1" x14ac:dyDescent="0.25">
      <c r="A140" s="17" t="s">
        <v>704</v>
      </c>
      <c r="B140" s="18" t="s">
        <v>899</v>
      </c>
      <c r="C140" s="18"/>
      <c r="D140" s="17" t="s">
        <v>197</v>
      </c>
      <c r="E140" s="17"/>
      <c r="F140" s="17">
        <v>3</v>
      </c>
      <c r="G140" s="17" t="s">
        <v>13</v>
      </c>
      <c r="H140" s="17">
        <v>5</v>
      </c>
      <c r="I140" s="18"/>
      <c r="J140" s="17"/>
    </row>
    <row r="141" spans="1:10" ht="30" customHeight="1" x14ac:dyDescent="0.25">
      <c r="A141" s="17" t="s">
        <v>705</v>
      </c>
      <c r="B141" s="18" t="s">
        <v>903</v>
      </c>
      <c r="C141" s="18"/>
      <c r="D141" s="17" t="s">
        <v>175</v>
      </c>
      <c r="E141" s="17"/>
      <c r="F141" s="17">
        <v>3</v>
      </c>
      <c r="G141" s="17" t="s">
        <v>13</v>
      </c>
      <c r="H141" s="17">
        <v>5</v>
      </c>
      <c r="I141" s="18"/>
      <c r="J141" s="17"/>
    </row>
    <row r="142" spans="1:10" ht="30" customHeight="1" x14ac:dyDescent="0.25">
      <c r="A142" s="17" t="s">
        <v>706</v>
      </c>
      <c r="B142" s="18" t="s">
        <v>898</v>
      </c>
      <c r="C142" s="18"/>
      <c r="D142" s="17" t="s">
        <v>183</v>
      </c>
      <c r="E142" s="17"/>
      <c r="F142" s="17">
        <v>3</v>
      </c>
      <c r="G142" s="17" t="s">
        <v>13</v>
      </c>
      <c r="H142" s="17">
        <v>5</v>
      </c>
      <c r="I142" s="18"/>
      <c r="J142" s="17"/>
    </row>
    <row r="143" spans="1:10" ht="30" customHeight="1" x14ac:dyDescent="0.25">
      <c r="A143" s="17" t="s">
        <v>707</v>
      </c>
      <c r="B143" s="18" t="s">
        <v>895</v>
      </c>
      <c r="C143" s="18"/>
      <c r="D143" s="17" t="s">
        <v>174</v>
      </c>
      <c r="E143" s="17"/>
      <c r="F143" s="17">
        <v>3</v>
      </c>
      <c r="G143" s="17" t="s">
        <v>13</v>
      </c>
      <c r="H143" s="17">
        <v>5</v>
      </c>
      <c r="I143" s="18"/>
      <c r="J143" s="17"/>
    </row>
    <row r="144" spans="1:10" ht="30" customHeight="1" x14ac:dyDescent="0.25">
      <c r="A144" s="17" t="s">
        <v>708</v>
      </c>
      <c r="B144" s="18" t="s">
        <v>709</v>
      </c>
      <c r="C144" s="18"/>
      <c r="D144" s="17"/>
      <c r="E144" s="17"/>
      <c r="F144" s="17">
        <v>3</v>
      </c>
      <c r="G144" s="17" t="s">
        <v>13</v>
      </c>
      <c r="H144" s="17">
        <v>10</v>
      </c>
      <c r="I144" s="18"/>
      <c r="J144" s="17"/>
    </row>
    <row r="145" spans="1:10" ht="30" customHeight="1" x14ac:dyDescent="0.25">
      <c r="A145" s="46" t="s">
        <v>587</v>
      </c>
      <c r="B145" s="48"/>
      <c r="C145" s="48"/>
      <c r="D145" s="48"/>
      <c r="E145" s="48"/>
      <c r="F145" s="48"/>
      <c r="G145" s="48"/>
      <c r="H145" s="48"/>
      <c r="I145" s="48"/>
      <c r="J145" s="48"/>
    </row>
    <row r="146" spans="1:10" ht="30" customHeight="1" x14ac:dyDescent="0.25">
      <c r="A146" s="17" t="s">
        <v>710</v>
      </c>
      <c r="B146" s="18" t="s">
        <v>711</v>
      </c>
      <c r="C146" s="18"/>
      <c r="D146" s="17"/>
      <c r="E146" s="17" t="s">
        <v>586</v>
      </c>
      <c r="F146" s="17"/>
      <c r="G146" s="17" t="s">
        <v>13</v>
      </c>
      <c r="H146" s="17">
        <v>6</v>
      </c>
      <c r="I146" s="18"/>
      <c r="J146" s="17"/>
    </row>
    <row r="147" spans="1:10" ht="30" customHeight="1" x14ac:dyDescent="0.25">
      <c r="A147" s="17" t="s">
        <v>712</v>
      </c>
      <c r="B147" s="18" t="s">
        <v>745</v>
      </c>
      <c r="C147" s="18"/>
      <c r="D147" s="17" t="s">
        <v>195</v>
      </c>
      <c r="E147" s="17"/>
      <c r="F147" s="17">
        <v>3</v>
      </c>
      <c r="G147" s="17" t="s">
        <v>13</v>
      </c>
      <c r="H147" s="17">
        <v>10</v>
      </c>
      <c r="I147" s="18"/>
      <c r="J147" s="17"/>
    </row>
    <row r="148" spans="1:10" ht="30" customHeight="1" x14ac:dyDescent="0.25">
      <c r="A148" s="17" t="s">
        <v>713</v>
      </c>
      <c r="B148" s="18" t="s">
        <v>746</v>
      </c>
      <c r="C148" s="18"/>
      <c r="D148" s="17" t="s">
        <v>196</v>
      </c>
      <c r="E148" s="17"/>
      <c r="F148" s="17">
        <v>3</v>
      </c>
      <c r="G148" s="17" t="s">
        <v>13</v>
      </c>
      <c r="H148" s="17">
        <v>8</v>
      </c>
      <c r="I148" s="18"/>
      <c r="J148" s="17"/>
    </row>
    <row r="149" spans="1:10" ht="30" customHeight="1" x14ac:dyDescent="0.25">
      <c r="A149" s="17" t="s">
        <v>714</v>
      </c>
      <c r="B149" s="18" t="s">
        <v>747</v>
      </c>
      <c r="C149" s="18"/>
      <c r="D149" s="17" t="s">
        <v>204</v>
      </c>
      <c r="E149" s="17"/>
      <c r="F149" s="17">
        <v>2</v>
      </c>
      <c r="G149" s="17" t="s">
        <v>13</v>
      </c>
      <c r="H149" s="17">
        <v>6</v>
      </c>
      <c r="I149" s="18"/>
      <c r="J149" s="17"/>
    </row>
    <row r="150" spans="1:10" ht="30" customHeight="1" x14ac:dyDescent="0.25">
      <c r="A150" s="17" t="s">
        <v>715</v>
      </c>
      <c r="B150" s="18" t="s">
        <v>748</v>
      </c>
      <c r="C150" s="18"/>
      <c r="D150" s="17" t="s">
        <v>202</v>
      </c>
      <c r="E150" s="17"/>
      <c r="F150" s="17">
        <v>2</v>
      </c>
      <c r="G150" s="17" t="s">
        <v>13</v>
      </c>
      <c r="H150" s="17">
        <v>6</v>
      </c>
      <c r="I150" s="18"/>
      <c r="J150" s="17"/>
    </row>
    <row r="151" spans="1:10" ht="30" customHeight="1" x14ac:dyDescent="0.25">
      <c r="A151" s="17" t="s">
        <v>716</v>
      </c>
      <c r="B151" s="18" t="s">
        <v>749</v>
      </c>
      <c r="C151" s="18"/>
      <c r="D151" s="17" t="s">
        <v>209</v>
      </c>
      <c r="E151" s="17"/>
      <c r="F151" s="17">
        <v>2</v>
      </c>
      <c r="G151" s="17" t="s">
        <v>13</v>
      </c>
      <c r="H151" s="17">
        <v>6</v>
      </c>
      <c r="I151" s="18"/>
      <c r="J151" s="17"/>
    </row>
    <row r="152" spans="1:10" ht="30" customHeight="1" x14ac:dyDescent="0.25">
      <c r="A152" s="17" t="s">
        <v>717</v>
      </c>
      <c r="B152" s="18" t="s">
        <v>718</v>
      </c>
      <c r="C152" s="18"/>
      <c r="D152" s="17"/>
      <c r="E152" s="17"/>
      <c r="F152" s="17">
        <v>2</v>
      </c>
      <c r="G152" s="17" t="s">
        <v>13</v>
      </c>
      <c r="H152" s="17">
        <v>8</v>
      </c>
      <c r="I152" s="18"/>
      <c r="J152" s="17"/>
    </row>
    <row r="153" spans="1:10" ht="30" customHeight="1" x14ac:dyDescent="0.25">
      <c r="A153" s="46" t="s">
        <v>719</v>
      </c>
      <c r="B153" s="48"/>
      <c r="C153" s="48"/>
      <c r="D153" s="48"/>
      <c r="E153" s="48"/>
      <c r="F153" s="48"/>
      <c r="G153" s="48"/>
      <c r="H153" s="48"/>
      <c r="I153" s="48"/>
      <c r="J153" s="48"/>
    </row>
    <row r="154" spans="1:10" ht="30" customHeight="1" x14ac:dyDescent="0.25">
      <c r="A154" s="17" t="s">
        <v>720</v>
      </c>
      <c r="B154" s="18" t="s">
        <v>721</v>
      </c>
      <c r="C154" s="18"/>
      <c r="D154" s="17"/>
      <c r="E154" s="17"/>
      <c r="F154" s="17"/>
      <c r="G154" s="17" t="s">
        <v>13</v>
      </c>
      <c r="H154" s="17">
        <v>4</v>
      </c>
      <c r="I154" s="18"/>
      <c r="J154" s="17"/>
    </row>
    <row r="155" spans="1:10" ht="30" customHeight="1" x14ac:dyDescent="0.25">
      <c r="A155" s="17" t="s">
        <v>722</v>
      </c>
      <c r="B155" s="18" t="s">
        <v>723</v>
      </c>
      <c r="C155" s="18"/>
      <c r="D155" s="17"/>
      <c r="E155" s="17"/>
      <c r="F155" s="17"/>
      <c r="G155" s="17" t="s">
        <v>13</v>
      </c>
      <c r="H155" s="17">
        <v>10</v>
      </c>
      <c r="I155" s="18"/>
      <c r="J155" s="17"/>
    </row>
    <row r="156" spans="1:10" ht="30" customHeight="1" x14ac:dyDescent="0.25">
      <c r="A156" s="17" t="s">
        <v>724</v>
      </c>
      <c r="B156" s="18" t="s">
        <v>725</v>
      </c>
      <c r="C156" s="18"/>
      <c r="D156" s="17"/>
      <c r="E156" s="17"/>
      <c r="F156" s="17"/>
      <c r="G156" s="17" t="s">
        <v>13</v>
      </c>
      <c r="H156" s="17">
        <v>10</v>
      </c>
      <c r="I156" s="18"/>
      <c r="J156" s="17"/>
    </row>
    <row r="157" spans="1:10" ht="30" customHeight="1" x14ac:dyDescent="0.25">
      <c r="A157" s="17" t="s">
        <v>726</v>
      </c>
      <c r="B157" s="18" t="s">
        <v>744</v>
      </c>
      <c r="C157" s="18"/>
      <c r="D157" s="17"/>
      <c r="E157" s="17"/>
      <c r="F157" s="17"/>
      <c r="G157" s="17" t="s">
        <v>13</v>
      </c>
      <c r="H157" s="17">
        <v>8</v>
      </c>
      <c r="I157" s="18"/>
      <c r="J157" s="17"/>
    </row>
    <row r="158" spans="1:10" ht="30" customHeight="1" x14ac:dyDescent="0.25">
      <c r="A158" s="17" t="s">
        <v>727</v>
      </c>
      <c r="B158" s="18" t="s">
        <v>728</v>
      </c>
      <c r="C158" s="18"/>
      <c r="D158" s="17"/>
      <c r="E158" s="17"/>
      <c r="F158" s="17"/>
      <c r="G158" s="17" t="s">
        <v>13</v>
      </c>
      <c r="H158" s="17">
        <v>8</v>
      </c>
      <c r="I158" s="18"/>
      <c r="J158" s="17"/>
    </row>
    <row r="159" spans="1:10" ht="30" customHeight="1" x14ac:dyDescent="0.25">
      <c r="A159" s="17" t="s">
        <v>729</v>
      </c>
      <c r="B159" s="18" t="s">
        <v>730</v>
      </c>
      <c r="C159" s="18"/>
      <c r="D159" s="17"/>
      <c r="E159" s="17"/>
      <c r="F159" s="17"/>
      <c r="G159" s="17" t="s">
        <v>13</v>
      </c>
      <c r="H159" s="17">
        <v>20</v>
      </c>
      <c r="I159" s="18"/>
      <c r="J159" s="17"/>
    </row>
    <row r="160" spans="1:10" ht="30" customHeight="1" x14ac:dyDescent="0.25">
      <c r="A160" s="17" t="s">
        <v>731</v>
      </c>
      <c r="B160" s="18" t="s">
        <v>732</v>
      </c>
      <c r="C160" s="18"/>
      <c r="D160" s="17"/>
      <c r="E160" s="17"/>
      <c r="F160" s="17"/>
      <c r="G160" s="17" t="s">
        <v>13</v>
      </c>
      <c r="H160" s="17">
        <v>16</v>
      </c>
      <c r="I160" s="18"/>
      <c r="J160" s="17"/>
    </row>
    <row r="161" spans="1:10" ht="30" customHeight="1" x14ac:dyDescent="0.25">
      <c r="A161" s="17" t="s">
        <v>733</v>
      </c>
      <c r="B161" s="18" t="s">
        <v>734</v>
      </c>
      <c r="C161" s="18"/>
      <c r="D161" s="17"/>
      <c r="E161" s="17"/>
      <c r="F161" s="17"/>
      <c r="G161" s="17" t="s">
        <v>13</v>
      </c>
      <c r="H161" s="17">
        <v>6</v>
      </c>
      <c r="I161" s="18"/>
      <c r="J161" s="17"/>
    </row>
    <row r="162" spans="1:10" ht="15.75" customHeight="1" x14ac:dyDescent="0.25"/>
    <row r="163" spans="1:10" ht="15.75" customHeight="1" x14ac:dyDescent="0.25"/>
    <row r="164" spans="1:10" ht="15.75" customHeight="1" x14ac:dyDescent="0.25"/>
    <row r="165" spans="1:10" ht="15.75" customHeight="1" x14ac:dyDescent="0.25"/>
    <row r="166" spans="1:10" ht="15.75" customHeight="1" x14ac:dyDescent="0.25"/>
    <row r="167" spans="1:10" ht="15.75" customHeight="1" x14ac:dyDescent="0.25"/>
    <row r="168" spans="1:10" ht="15.75" customHeight="1" x14ac:dyDescent="0.25"/>
    <row r="169" spans="1:10" ht="15.75" customHeight="1" x14ac:dyDescent="0.25"/>
    <row r="170" spans="1:10" ht="15.75" customHeight="1" x14ac:dyDescent="0.25"/>
    <row r="171" spans="1:10" ht="15.75" customHeight="1" x14ac:dyDescent="0.25"/>
    <row r="172" spans="1:10" ht="15.75" customHeight="1" x14ac:dyDescent="0.25"/>
    <row r="173" spans="1:10" ht="15.75" customHeight="1" x14ac:dyDescent="0.25"/>
    <row r="174" spans="1:10" ht="15.75" customHeight="1" x14ac:dyDescent="0.25"/>
    <row r="175" spans="1:10" ht="15.75" customHeight="1" x14ac:dyDescent="0.25"/>
    <row r="176" spans="1:10"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mergeCells count="17">
    <mergeCell ref="A41:J41"/>
    <mergeCell ref="A1:J2"/>
    <mergeCell ref="A5:J5"/>
    <mergeCell ref="A145:J145"/>
    <mergeCell ref="A153:J153"/>
    <mergeCell ref="A131:J131"/>
    <mergeCell ref="A85:J85"/>
    <mergeCell ref="A112:J112"/>
    <mergeCell ref="A119:J119"/>
    <mergeCell ref="A93:J93"/>
    <mergeCell ref="A125:J125"/>
    <mergeCell ref="A73:J73"/>
    <mergeCell ref="A102:J102"/>
    <mergeCell ref="A49:J49"/>
    <mergeCell ref="A32:J32"/>
    <mergeCell ref="A14:J14"/>
    <mergeCell ref="A58:J58"/>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K1000"/>
  <sheetViews>
    <sheetView topLeftCell="A77" zoomScaleNormal="100" workbookViewId="0">
      <selection activeCell="M91" sqref="M91"/>
    </sheetView>
  </sheetViews>
  <sheetFormatPr defaultColWidth="14.42578125" defaultRowHeight="15" customHeight="1" x14ac:dyDescent="0.25"/>
  <cols>
    <col min="1" max="1" width="13" customWidth="1"/>
    <col min="2" max="2" width="29.42578125" customWidth="1"/>
    <col min="3" max="3" width="23.28515625" customWidth="1"/>
    <col min="4" max="4" width="46.5703125" customWidth="1"/>
    <col min="5" max="5" width="41.5703125" customWidth="1"/>
    <col min="6" max="6" width="8.85546875" customWidth="1"/>
    <col min="7" max="7" width="10.85546875" customWidth="1"/>
    <col min="8" max="8" width="16" customWidth="1"/>
    <col min="9" max="9" width="9" customWidth="1"/>
    <col min="10" max="26" width="8.85546875" customWidth="1"/>
  </cols>
  <sheetData>
    <row r="4" spans="1:11" x14ac:dyDescent="0.25">
      <c r="A4" s="51" t="s">
        <v>5</v>
      </c>
      <c r="B4" s="51" t="s">
        <v>96</v>
      </c>
      <c r="C4" s="53" t="s">
        <v>80</v>
      </c>
      <c r="D4" s="54"/>
      <c r="E4" s="55"/>
      <c r="F4" s="51" t="s">
        <v>4</v>
      </c>
      <c r="G4" s="51" t="s">
        <v>81</v>
      </c>
      <c r="H4" s="51" t="s">
        <v>82</v>
      </c>
      <c r="I4" s="51" t="s">
        <v>6</v>
      </c>
      <c r="J4" s="51" t="s">
        <v>7</v>
      </c>
      <c r="K4" s="51" t="s">
        <v>10</v>
      </c>
    </row>
    <row r="5" spans="1:11" ht="36" x14ac:dyDescent="0.25">
      <c r="A5" s="52"/>
      <c r="B5" s="52"/>
      <c r="C5" s="2" t="s">
        <v>84</v>
      </c>
      <c r="D5" s="2" t="s">
        <v>85</v>
      </c>
      <c r="E5" s="2" t="s">
        <v>86</v>
      </c>
      <c r="F5" s="52"/>
      <c r="G5" s="52"/>
      <c r="H5" s="52"/>
      <c r="I5" s="52"/>
      <c r="J5" s="52"/>
      <c r="K5" s="52"/>
    </row>
    <row r="6" spans="1:11" ht="24.95" customHeight="1" x14ac:dyDescent="0.25">
      <c r="A6" s="56" t="s">
        <v>12</v>
      </c>
      <c r="B6" s="56" t="s">
        <v>435</v>
      </c>
      <c r="C6" s="13" t="s">
        <v>212</v>
      </c>
      <c r="D6" s="13" t="s">
        <v>436</v>
      </c>
      <c r="E6" s="13" t="s">
        <v>437</v>
      </c>
      <c r="F6" s="14" t="s">
        <v>90</v>
      </c>
      <c r="G6" s="14">
        <v>1</v>
      </c>
      <c r="H6" s="14" t="s">
        <v>91</v>
      </c>
      <c r="I6" s="14">
        <v>1</v>
      </c>
      <c r="J6" s="14" t="s">
        <v>13</v>
      </c>
      <c r="K6" s="13"/>
    </row>
    <row r="7" spans="1:11" ht="24.95" customHeight="1" x14ac:dyDescent="0.25">
      <c r="A7" s="57"/>
      <c r="B7" s="57"/>
      <c r="C7" s="13" t="s">
        <v>212</v>
      </c>
      <c r="D7" s="13" t="s">
        <v>429</v>
      </c>
      <c r="E7" s="13" t="s">
        <v>430</v>
      </c>
      <c r="F7" s="14" t="s">
        <v>87</v>
      </c>
      <c r="G7" s="14">
        <v>1</v>
      </c>
      <c r="H7" s="14" t="s">
        <v>91</v>
      </c>
      <c r="I7" s="14">
        <v>1</v>
      </c>
      <c r="J7" s="14" t="s">
        <v>13</v>
      </c>
      <c r="K7" s="13"/>
    </row>
    <row r="8" spans="1:11" ht="24.95" customHeight="1" x14ac:dyDescent="0.25">
      <c r="A8" s="57"/>
      <c r="B8" s="57"/>
      <c r="C8" s="13" t="s">
        <v>212</v>
      </c>
      <c r="D8" s="13" t="s">
        <v>431</v>
      </c>
      <c r="E8" s="13" t="s">
        <v>432</v>
      </c>
      <c r="F8" s="14" t="s">
        <v>89</v>
      </c>
      <c r="G8" s="14">
        <v>2</v>
      </c>
      <c r="H8" s="14" t="s">
        <v>88</v>
      </c>
      <c r="I8" s="14">
        <v>2</v>
      </c>
      <c r="J8" s="14" t="s">
        <v>13</v>
      </c>
      <c r="K8" s="13"/>
    </row>
    <row r="9" spans="1:11" ht="24.95" customHeight="1" x14ac:dyDescent="0.25">
      <c r="A9" s="57"/>
      <c r="B9" s="57"/>
      <c r="C9" s="13" t="s">
        <v>263</v>
      </c>
      <c r="D9" s="13" t="s">
        <v>433</v>
      </c>
      <c r="E9" s="13" t="s">
        <v>434</v>
      </c>
      <c r="F9" s="14" t="s">
        <v>143</v>
      </c>
      <c r="G9" s="14">
        <v>1</v>
      </c>
      <c r="H9" s="14" t="s">
        <v>91</v>
      </c>
      <c r="I9" s="14">
        <v>1</v>
      </c>
      <c r="J9" s="14" t="s">
        <v>13</v>
      </c>
      <c r="K9" s="13"/>
    </row>
    <row r="10" spans="1:11" ht="24.95" customHeight="1" x14ac:dyDescent="0.25">
      <c r="A10" s="58"/>
      <c r="B10" s="58"/>
      <c r="C10" s="13" t="s">
        <v>313</v>
      </c>
      <c r="D10" s="13" t="s">
        <v>327</v>
      </c>
      <c r="E10" s="13" t="s">
        <v>438</v>
      </c>
      <c r="F10" s="14" t="s">
        <v>211</v>
      </c>
      <c r="G10" s="14">
        <v>3</v>
      </c>
      <c r="H10" s="14" t="s">
        <v>91</v>
      </c>
      <c r="I10" s="14">
        <v>1</v>
      </c>
      <c r="J10" s="14" t="s">
        <v>13</v>
      </c>
      <c r="K10" s="13"/>
    </row>
    <row r="11" spans="1:11" ht="24.95" customHeight="1" x14ac:dyDescent="0.25">
      <c r="A11" s="56" t="s">
        <v>27</v>
      </c>
      <c r="B11" s="56" t="s">
        <v>439</v>
      </c>
      <c r="C11" s="13" t="s">
        <v>882</v>
      </c>
      <c r="D11" s="13" t="s">
        <v>440</v>
      </c>
      <c r="E11" s="13" t="s">
        <v>441</v>
      </c>
      <c r="F11" s="14" t="s">
        <v>187</v>
      </c>
      <c r="G11" s="14">
        <v>1</v>
      </c>
      <c r="H11" s="14" t="s">
        <v>91</v>
      </c>
      <c r="I11" s="14">
        <v>1</v>
      </c>
      <c r="J11" s="14" t="s">
        <v>13</v>
      </c>
      <c r="K11" s="13"/>
    </row>
    <row r="12" spans="1:11" ht="24.95" customHeight="1" x14ac:dyDescent="0.25">
      <c r="A12" s="57"/>
      <c r="B12" s="57"/>
      <c r="C12" s="13" t="s">
        <v>882</v>
      </c>
      <c r="D12" s="13" t="s">
        <v>881</v>
      </c>
      <c r="E12" s="13" t="s">
        <v>594</v>
      </c>
      <c r="F12" s="14" t="s">
        <v>205</v>
      </c>
      <c r="G12" s="14">
        <v>3</v>
      </c>
      <c r="H12" s="14" t="s">
        <v>91</v>
      </c>
      <c r="I12" s="14">
        <v>1</v>
      </c>
      <c r="J12" s="14" t="s">
        <v>13</v>
      </c>
      <c r="K12" s="13"/>
    </row>
    <row r="13" spans="1:11" ht="24.95" customHeight="1" x14ac:dyDescent="0.25">
      <c r="A13" s="57"/>
      <c r="B13" s="57"/>
      <c r="C13" s="13" t="s">
        <v>882</v>
      </c>
      <c r="D13" s="13" t="s">
        <v>374</v>
      </c>
      <c r="E13" s="13" t="s">
        <v>595</v>
      </c>
      <c r="F13" s="14" t="s">
        <v>206</v>
      </c>
      <c r="G13" s="14">
        <v>1</v>
      </c>
      <c r="H13" s="14" t="s">
        <v>91</v>
      </c>
      <c r="I13" s="14">
        <v>1</v>
      </c>
      <c r="J13" s="14" t="s">
        <v>13</v>
      </c>
      <c r="K13" s="13"/>
    </row>
    <row r="14" spans="1:11" ht="24.95" customHeight="1" x14ac:dyDescent="0.25">
      <c r="A14" s="57"/>
      <c r="B14" s="57"/>
      <c r="C14" s="13" t="s">
        <v>882</v>
      </c>
      <c r="D14" s="13" t="s">
        <v>442</v>
      </c>
      <c r="E14" s="13" t="s">
        <v>443</v>
      </c>
      <c r="F14" s="14" t="s">
        <v>188</v>
      </c>
      <c r="G14" s="14">
        <v>1</v>
      </c>
      <c r="H14" s="14" t="s">
        <v>91</v>
      </c>
      <c r="I14" s="14">
        <v>1</v>
      </c>
      <c r="J14" s="14" t="s">
        <v>13</v>
      </c>
      <c r="K14" s="13"/>
    </row>
    <row r="15" spans="1:11" ht="24.95" customHeight="1" x14ac:dyDescent="0.25">
      <c r="A15" s="57"/>
      <c r="B15" s="57"/>
      <c r="C15" s="13" t="s">
        <v>313</v>
      </c>
      <c r="D15" s="13" t="s">
        <v>444</v>
      </c>
      <c r="E15" s="13" t="s">
        <v>445</v>
      </c>
      <c r="F15" s="14" t="s">
        <v>190</v>
      </c>
      <c r="G15" s="14">
        <v>3</v>
      </c>
      <c r="H15" s="14" t="s">
        <v>91</v>
      </c>
      <c r="I15" s="14">
        <v>1</v>
      </c>
      <c r="J15" s="14" t="s">
        <v>13</v>
      </c>
      <c r="K15" s="13"/>
    </row>
    <row r="16" spans="1:11" ht="24.95" customHeight="1" x14ac:dyDescent="0.25">
      <c r="A16" s="57"/>
      <c r="B16" s="57"/>
      <c r="C16" s="13" t="s">
        <v>882</v>
      </c>
      <c r="D16" s="13" t="s">
        <v>324</v>
      </c>
      <c r="E16" s="13" t="s">
        <v>446</v>
      </c>
      <c r="F16" s="14" t="s">
        <v>191</v>
      </c>
      <c r="G16" s="14">
        <v>1</v>
      </c>
      <c r="H16" s="14" t="s">
        <v>91</v>
      </c>
      <c r="I16" s="14">
        <v>1</v>
      </c>
      <c r="J16" s="14" t="s">
        <v>13</v>
      </c>
      <c r="K16" s="13"/>
    </row>
    <row r="17" spans="1:11" ht="24.95" customHeight="1" x14ac:dyDescent="0.25">
      <c r="A17" s="57"/>
      <c r="B17" s="57"/>
      <c r="C17" s="13" t="s">
        <v>882</v>
      </c>
      <c r="D17" s="13" t="s">
        <v>325</v>
      </c>
      <c r="E17" s="13" t="s">
        <v>447</v>
      </c>
      <c r="F17" s="14" t="s">
        <v>192</v>
      </c>
      <c r="G17" s="14">
        <v>1</v>
      </c>
      <c r="H17" s="14" t="s">
        <v>91</v>
      </c>
      <c r="I17" s="14">
        <v>1</v>
      </c>
      <c r="J17" s="14" t="s">
        <v>13</v>
      </c>
      <c r="K17" s="13"/>
    </row>
    <row r="18" spans="1:11" ht="24.95" customHeight="1" x14ac:dyDescent="0.25">
      <c r="A18" s="57"/>
      <c r="B18" s="57"/>
      <c r="C18" s="13" t="s">
        <v>882</v>
      </c>
      <c r="D18" s="13" t="s">
        <v>448</v>
      </c>
      <c r="E18" s="13" t="s">
        <v>449</v>
      </c>
      <c r="F18" s="14" t="s">
        <v>193</v>
      </c>
      <c r="G18" s="14">
        <v>1</v>
      </c>
      <c r="H18" s="14" t="s">
        <v>91</v>
      </c>
      <c r="I18" s="14">
        <v>1</v>
      </c>
      <c r="J18" s="14" t="s">
        <v>13</v>
      </c>
      <c r="K18" s="13"/>
    </row>
    <row r="19" spans="1:11" ht="24.95" customHeight="1" x14ac:dyDescent="0.25">
      <c r="A19" s="57"/>
      <c r="B19" s="57"/>
      <c r="C19" s="13" t="s">
        <v>882</v>
      </c>
      <c r="D19" s="13" t="s">
        <v>336</v>
      </c>
      <c r="E19" s="13" t="s">
        <v>596</v>
      </c>
      <c r="F19" s="14" t="s">
        <v>173</v>
      </c>
      <c r="G19" s="14">
        <v>1</v>
      </c>
      <c r="H19" s="14" t="s">
        <v>91</v>
      </c>
      <c r="I19" s="14">
        <v>1</v>
      </c>
      <c r="J19" s="14" t="s">
        <v>13</v>
      </c>
      <c r="K19" s="13"/>
    </row>
    <row r="20" spans="1:11" ht="24.95" customHeight="1" x14ac:dyDescent="0.25">
      <c r="A20" s="57"/>
      <c r="B20" s="57"/>
      <c r="C20" s="13" t="s">
        <v>882</v>
      </c>
      <c r="D20" s="13" t="s">
        <v>316</v>
      </c>
      <c r="E20" s="13" t="s">
        <v>450</v>
      </c>
      <c r="F20" s="14" t="s">
        <v>189</v>
      </c>
      <c r="G20" s="14">
        <v>2</v>
      </c>
      <c r="H20" s="14" t="s">
        <v>88</v>
      </c>
      <c r="I20" s="14">
        <v>2</v>
      </c>
      <c r="J20" s="14" t="s">
        <v>13</v>
      </c>
      <c r="K20" s="13"/>
    </row>
    <row r="21" spans="1:11" ht="24.95" customHeight="1" x14ac:dyDescent="0.25">
      <c r="A21" s="57"/>
      <c r="B21" s="57"/>
      <c r="C21" s="13" t="s">
        <v>882</v>
      </c>
      <c r="D21" s="13" t="s">
        <v>451</v>
      </c>
      <c r="E21" s="13" t="s">
        <v>452</v>
      </c>
      <c r="F21" s="14" t="s">
        <v>194</v>
      </c>
      <c r="G21" s="14">
        <v>2</v>
      </c>
      <c r="H21" s="14" t="s">
        <v>88</v>
      </c>
      <c r="I21" s="14">
        <v>2</v>
      </c>
      <c r="J21" s="14" t="s">
        <v>13</v>
      </c>
      <c r="K21" s="13"/>
    </row>
    <row r="22" spans="1:11" ht="24.95" customHeight="1" x14ac:dyDescent="0.25">
      <c r="A22" s="57"/>
      <c r="B22" s="57"/>
      <c r="C22" s="13" t="s">
        <v>882</v>
      </c>
      <c r="D22" s="13" t="s">
        <v>352</v>
      </c>
      <c r="E22" s="13" t="s">
        <v>597</v>
      </c>
      <c r="F22" s="14" t="s">
        <v>198</v>
      </c>
      <c r="G22" s="14">
        <v>2</v>
      </c>
      <c r="H22" s="14" t="s">
        <v>88</v>
      </c>
      <c r="I22" s="14">
        <v>2</v>
      </c>
      <c r="J22" s="14" t="s">
        <v>13</v>
      </c>
      <c r="K22" s="13"/>
    </row>
    <row r="23" spans="1:11" ht="24.95" customHeight="1" x14ac:dyDescent="0.25">
      <c r="A23" s="57"/>
      <c r="B23" s="57"/>
      <c r="C23" s="13" t="s">
        <v>882</v>
      </c>
      <c r="D23" s="13" t="s">
        <v>329</v>
      </c>
      <c r="E23" s="13" t="s">
        <v>598</v>
      </c>
      <c r="F23" s="14" t="s">
        <v>163</v>
      </c>
      <c r="G23" s="14">
        <v>2</v>
      </c>
      <c r="H23" s="14" t="s">
        <v>88</v>
      </c>
      <c r="I23" s="14">
        <v>2</v>
      </c>
      <c r="J23" s="14" t="s">
        <v>13</v>
      </c>
      <c r="K23" s="13"/>
    </row>
    <row r="24" spans="1:11" ht="24.95" customHeight="1" x14ac:dyDescent="0.25">
      <c r="A24" s="58"/>
      <c r="B24" s="58"/>
      <c r="C24" s="13" t="s">
        <v>888</v>
      </c>
      <c r="D24" s="13" t="s">
        <v>330</v>
      </c>
      <c r="E24" s="13" t="s">
        <v>599</v>
      </c>
      <c r="F24" s="14" t="s">
        <v>164</v>
      </c>
      <c r="G24" s="14">
        <v>2</v>
      </c>
      <c r="H24" s="14" t="s">
        <v>88</v>
      </c>
      <c r="I24" s="14">
        <v>2</v>
      </c>
      <c r="J24" s="14" t="s">
        <v>13</v>
      </c>
      <c r="K24" s="13"/>
    </row>
    <row r="25" spans="1:11" ht="24.95" customHeight="1" x14ac:dyDescent="0.25">
      <c r="A25" s="56" t="s">
        <v>41</v>
      </c>
      <c r="B25" s="56" t="s">
        <v>453</v>
      </c>
      <c r="C25" s="13" t="s">
        <v>212</v>
      </c>
      <c r="D25" s="13" t="s">
        <v>454</v>
      </c>
      <c r="E25" s="13" t="s">
        <v>455</v>
      </c>
      <c r="F25" s="14" t="s">
        <v>16</v>
      </c>
      <c r="G25" s="14">
        <v>1</v>
      </c>
      <c r="H25" s="14" t="s">
        <v>91</v>
      </c>
      <c r="I25" s="14">
        <v>1</v>
      </c>
      <c r="J25" s="14" t="s">
        <v>13</v>
      </c>
      <c r="K25" s="13"/>
    </row>
    <row r="26" spans="1:11" ht="24.95" customHeight="1" x14ac:dyDescent="0.25">
      <c r="A26" s="57"/>
      <c r="B26" s="57"/>
      <c r="C26" s="13" t="s">
        <v>263</v>
      </c>
      <c r="D26" s="13" t="s">
        <v>456</v>
      </c>
      <c r="E26" s="13" t="s">
        <v>457</v>
      </c>
      <c r="F26" s="14" t="s">
        <v>139</v>
      </c>
      <c r="G26" s="14">
        <v>1</v>
      </c>
      <c r="H26" s="14" t="s">
        <v>91</v>
      </c>
      <c r="I26" s="14">
        <v>1</v>
      </c>
      <c r="J26" s="14" t="s">
        <v>13</v>
      </c>
      <c r="K26" s="13"/>
    </row>
    <row r="27" spans="1:11" ht="24.95" customHeight="1" x14ac:dyDescent="0.25">
      <c r="A27" s="57"/>
      <c r="B27" s="57"/>
      <c r="C27" s="13" t="s">
        <v>888</v>
      </c>
      <c r="D27" s="13" t="s">
        <v>600</v>
      </c>
      <c r="E27" s="13" t="s">
        <v>601</v>
      </c>
      <c r="F27" s="14" t="s">
        <v>178</v>
      </c>
      <c r="G27" s="14">
        <v>3</v>
      </c>
      <c r="H27" s="14" t="s">
        <v>91</v>
      </c>
      <c r="I27" s="14">
        <v>2</v>
      </c>
      <c r="J27" s="14" t="s">
        <v>13</v>
      </c>
      <c r="K27" s="13"/>
    </row>
    <row r="28" spans="1:11" ht="24.95" customHeight="1" x14ac:dyDescent="0.25">
      <c r="A28" s="57"/>
      <c r="B28" s="57"/>
      <c r="C28" s="13" t="s">
        <v>888</v>
      </c>
      <c r="D28" s="13" t="s">
        <v>322</v>
      </c>
      <c r="E28" s="13" t="s">
        <v>458</v>
      </c>
      <c r="F28" s="14" t="s">
        <v>182</v>
      </c>
      <c r="G28" s="14">
        <v>3</v>
      </c>
      <c r="H28" s="14" t="s">
        <v>91</v>
      </c>
      <c r="I28" s="14">
        <v>2</v>
      </c>
      <c r="J28" s="14" t="s">
        <v>13</v>
      </c>
      <c r="K28" s="13"/>
    </row>
    <row r="29" spans="1:11" ht="24.95" customHeight="1" x14ac:dyDescent="0.25">
      <c r="A29" s="57"/>
      <c r="B29" s="57"/>
      <c r="C29" s="13" t="s">
        <v>888</v>
      </c>
      <c r="D29" s="13" t="s">
        <v>459</v>
      </c>
      <c r="E29" s="13" t="s">
        <v>460</v>
      </c>
      <c r="F29" s="14" t="s">
        <v>167</v>
      </c>
      <c r="G29" s="14">
        <v>2</v>
      </c>
      <c r="H29" s="14" t="s">
        <v>88</v>
      </c>
      <c r="I29" s="14">
        <v>2</v>
      </c>
      <c r="J29" s="14" t="s">
        <v>13</v>
      </c>
      <c r="K29" s="13"/>
    </row>
    <row r="30" spans="1:11" ht="24.95" customHeight="1" x14ac:dyDescent="0.25">
      <c r="A30" s="58"/>
      <c r="B30" s="58"/>
      <c r="C30" s="13" t="s">
        <v>888</v>
      </c>
      <c r="D30" s="13" t="s">
        <v>356</v>
      </c>
      <c r="E30" s="13" t="s">
        <v>602</v>
      </c>
      <c r="F30" s="14" t="s">
        <v>208</v>
      </c>
      <c r="G30" s="14">
        <v>2</v>
      </c>
      <c r="H30" s="14" t="s">
        <v>88</v>
      </c>
      <c r="I30" s="14">
        <v>2</v>
      </c>
      <c r="J30" s="14" t="s">
        <v>13</v>
      </c>
      <c r="K30" s="13"/>
    </row>
    <row r="31" spans="1:11" ht="24.95" customHeight="1" x14ac:dyDescent="0.25">
      <c r="A31" s="56" t="s">
        <v>461</v>
      </c>
      <c r="B31" s="56" t="s">
        <v>462</v>
      </c>
      <c r="C31" s="13" t="s">
        <v>212</v>
      </c>
      <c r="D31" s="13" t="s">
        <v>463</v>
      </c>
      <c r="E31" s="13" t="s">
        <v>464</v>
      </c>
      <c r="F31" s="14" t="s">
        <v>19</v>
      </c>
      <c r="G31" s="14">
        <v>1</v>
      </c>
      <c r="H31" s="14" t="s">
        <v>91</v>
      </c>
      <c r="I31" s="14">
        <v>1</v>
      </c>
      <c r="J31" s="14" t="s">
        <v>13</v>
      </c>
      <c r="K31" s="13"/>
    </row>
    <row r="32" spans="1:11" ht="24.95" customHeight="1" x14ac:dyDescent="0.25">
      <c r="A32" s="57"/>
      <c r="B32" s="57"/>
      <c r="C32" s="13" t="s">
        <v>263</v>
      </c>
      <c r="D32" s="13" t="s">
        <v>465</v>
      </c>
      <c r="E32" s="13" t="s">
        <v>466</v>
      </c>
      <c r="F32" s="14" t="s">
        <v>137</v>
      </c>
      <c r="G32" s="14">
        <v>1</v>
      </c>
      <c r="H32" s="14" t="s">
        <v>91</v>
      </c>
      <c r="I32" s="14">
        <v>1</v>
      </c>
      <c r="J32" s="14" t="s">
        <v>13</v>
      </c>
      <c r="K32" s="13"/>
    </row>
    <row r="33" spans="1:11" ht="24.95" customHeight="1" x14ac:dyDescent="0.25">
      <c r="A33" s="57"/>
      <c r="B33" s="57"/>
      <c r="C33" s="13" t="s">
        <v>263</v>
      </c>
      <c r="D33" s="13" t="s">
        <v>467</v>
      </c>
      <c r="E33" s="13" t="s">
        <v>468</v>
      </c>
      <c r="F33" s="14" t="s">
        <v>138</v>
      </c>
      <c r="G33" s="14">
        <v>3</v>
      </c>
      <c r="H33" s="14" t="s">
        <v>91</v>
      </c>
      <c r="I33" s="14">
        <v>1</v>
      </c>
      <c r="J33" s="14" t="s">
        <v>13</v>
      </c>
      <c r="K33" s="13"/>
    </row>
    <row r="34" spans="1:11" ht="24.95" customHeight="1" x14ac:dyDescent="0.25">
      <c r="A34" s="57"/>
      <c r="B34" s="57"/>
      <c r="C34" s="13" t="s">
        <v>263</v>
      </c>
      <c r="D34" s="13" t="s">
        <v>469</v>
      </c>
      <c r="E34" s="13" t="s">
        <v>470</v>
      </c>
      <c r="F34" s="14" t="s">
        <v>158</v>
      </c>
      <c r="G34" s="14">
        <v>2</v>
      </c>
      <c r="H34" s="14" t="s">
        <v>88</v>
      </c>
      <c r="I34" s="14">
        <v>2</v>
      </c>
      <c r="J34" s="14" t="s">
        <v>13</v>
      </c>
      <c r="K34" s="13"/>
    </row>
    <row r="35" spans="1:11" ht="24.95" customHeight="1" x14ac:dyDescent="0.25">
      <c r="A35" s="58"/>
      <c r="B35" s="58"/>
      <c r="C35" s="13" t="s">
        <v>212</v>
      </c>
      <c r="D35" s="13" t="s">
        <v>471</v>
      </c>
      <c r="E35" s="13" t="s">
        <v>472</v>
      </c>
      <c r="F35" s="14" t="s">
        <v>135</v>
      </c>
      <c r="G35" s="14">
        <v>2</v>
      </c>
      <c r="H35" s="14" t="s">
        <v>88</v>
      </c>
      <c r="I35" s="14">
        <v>2</v>
      </c>
      <c r="J35" s="14" t="s">
        <v>13</v>
      </c>
      <c r="K35" s="13"/>
    </row>
    <row r="36" spans="1:11" ht="24.95" customHeight="1" x14ac:dyDescent="0.25">
      <c r="A36" s="56" t="s">
        <v>473</v>
      </c>
      <c r="B36" s="56" t="s">
        <v>474</v>
      </c>
      <c r="C36" s="13" t="s">
        <v>212</v>
      </c>
      <c r="D36" s="13" t="s">
        <v>475</v>
      </c>
      <c r="E36" s="13" t="s">
        <v>476</v>
      </c>
      <c r="F36" s="14" t="s">
        <v>35</v>
      </c>
      <c r="G36" s="14">
        <v>1</v>
      </c>
      <c r="H36" s="14" t="s">
        <v>91</v>
      </c>
      <c r="I36" s="14">
        <v>1</v>
      </c>
      <c r="J36" s="14" t="s">
        <v>13</v>
      </c>
      <c r="K36" s="13"/>
    </row>
    <row r="37" spans="1:11" ht="24.95" customHeight="1" x14ac:dyDescent="0.25">
      <c r="A37" s="57"/>
      <c r="B37" s="57"/>
      <c r="C37" s="13" t="s">
        <v>263</v>
      </c>
      <c r="D37" s="13" t="s">
        <v>477</v>
      </c>
      <c r="E37" s="13" t="s">
        <v>478</v>
      </c>
      <c r="F37" s="14" t="s">
        <v>140</v>
      </c>
      <c r="G37" s="14">
        <v>1</v>
      </c>
      <c r="H37" s="14" t="s">
        <v>91</v>
      </c>
      <c r="I37" s="14">
        <v>1</v>
      </c>
      <c r="J37" s="14" t="s">
        <v>13</v>
      </c>
      <c r="K37" s="13"/>
    </row>
    <row r="38" spans="1:11" ht="24.95" customHeight="1" x14ac:dyDescent="0.25">
      <c r="A38" s="57"/>
      <c r="B38" s="57"/>
      <c r="C38" s="13" t="s">
        <v>263</v>
      </c>
      <c r="D38" s="13" t="s">
        <v>479</v>
      </c>
      <c r="E38" s="13" t="s">
        <v>480</v>
      </c>
      <c r="F38" s="14" t="s">
        <v>141</v>
      </c>
      <c r="G38" s="14">
        <v>1</v>
      </c>
      <c r="H38" s="14" t="s">
        <v>91</v>
      </c>
      <c r="I38" s="14">
        <v>1</v>
      </c>
      <c r="J38" s="14" t="s">
        <v>13</v>
      </c>
      <c r="K38" s="13"/>
    </row>
    <row r="39" spans="1:11" ht="24.95" customHeight="1" x14ac:dyDescent="0.25">
      <c r="A39" s="57"/>
      <c r="B39" s="57"/>
      <c r="C39" s="13" t="s">
        <v>886</v>
      </c>
      <c r="D39" s="13" t="s">
        <v>342</v>
      </c>
      <c r="E39" s="13" t="s">
        <v>483</v>
      </c>
      <c r="F39" s="14" t="s">
        <v>180</v>
      </c>
      <c r="G39" s="14">
        <v>3</v>
      </c>
      <c r="H39" s="14" t="s">
        <v>91</v>
      </c>
      <c r="I39" s="14">
        <v>2</v>
      </c>
      <c r="J39" s="14" t="s">
        <v>13</v>
      </c>
      <c r="K39" s="13"/>
    </row>
    <row r="40" spans="1:11" ht="24.95" customHeight="1" x14ac:dyDescent="0.25">
      <c r="A40" s="57"/>
      <c r="B40" s="57"/>
      <c r="C40" s="13" t="s">
        <v>887</v>
      </c>
      <c r="D40" s="13" t="s">
        <v>331</v>
      </c>
      <c r="E40" s="13" t="s">
        <v>484</v>
      </c>
      <c r="F40" s="14" t="s">
        <v>165</v>
      </c>
      <c r="G40" s="14">
        <v>1</v>
      </c>
      <c r="H40" s="14" t="s">
        <v>91</v>
      </c>
      <c r="I40" s="14">
        <v>2</v>
      </c>
      <c r="J40" s="14" t="s">
        <v>13</v>
      </c>
      <c r="K40" s="13"/>
    </row>
    <row r="41" spans="1:11" ht="24.95" customHeight="1" x14ac:dyDescent="0.25">
      <c r="A41" s="58"/>
      <c r="B41" s="58"/>
      <c r="C41" s="13" t="s">
        <v>212</v>
      </c>
      <c r="D41" s="13" t="s">
        <v>481</v>
      </c>
      <c r="E41" s="13" t="s">
        <v>482</v>
      </c>
      <c r="F41" s="14" t="s">
        <v>44</v>
      </c>
      <c r="G41" s="14">
        <v>2</v>
      </c>
      <c r="H41" s="14" t="s">
        <v>88</v>
      </c>
      <c r="I41" s="14">
        <v>2</v>
      </c>
      <c r="J41" s="14" t="s">
        <v>13</v>
      </c>
      <c r="K41" s="13"/>
    </row>
    <row r="42" spans="1:11" ht="24.95" customHeight="1" x14ac:dyDescent="0.25">
      <c r="A42" s="56" t="s">
        <v>485</v>
      </c>
      <c r="B42" s="56" t="s">
        <v>603</v>
      </c>
      <c r="C42" s="13" t="s">
        <v>212</v>
      </c>
      <c r="D42" s="13" t="s">
        <v>486</v>
      </c>
      <c r="E42" s="13" t="s">
        <v>487</v>
      </c>
      <c r="F42" s="14" t="s">
        <v>92</v>
      </c>
      <c r="G42" s="14">
        <v>1</v>
      </c>
      <c r="H42" s="14" t="s">
        <v>91</v>
      </c>
      <c r="I42" s="14">
        <v>1</v>
      </c>
      <c r="J42" s="14" t="s">
        <v>13</v>
      </c>
      <c r="K42" s="13"/>
    </row>
    <row r="43" spans="1:11" ht="24.95" customHeight="1" x14ac:dyDescent="0.25">
      <c r="A43" s="57"/>
      <c r="B43" s="57"/>
      <c r="C43" s="13" t="s">
        <v>212</v>
      </c>
      <c r="D43" s="13" t="s">
        <v>604</v>
      </c>
      <c r="E43" s="13" t="s">
        <v>605</v>
      </c>
      <c r="F43" s="14" t="s">
        <v>130</v>
      </c>
      <c r="G43" s="14">
        <v>2</v>
      </c>
      <c r="H43" s="14" t="s">
        <v>88</v>
      </c>
      <c r="I43" s="14">
        <v>1</v>
      </c>
      <c r="J43" s="14" t="s">
        <v>13</v>
      </c>
      <c r="K43" s="13"/>
    </row>
    <row r="44" spans="1:11" ht="24.95" customHeight="1" x14ac:dyDescent="0.25">
      <c r="A44" s="57"/>
      <c r="B44" s="57"/>
      <c r="C44" s="13" t="s">
        <v>212</v>
      </c>
      <c r="D44" s="13" t="s">
        <v>606</v>
      </c>
      <c r="E44" s="13" t="s">
        <v>607</v>
      </c>
      <c r="F44" s="14" t="s">
        <v>131</v>
      </c>
      <c r="G44" s="14">
        <v>2</v>
      </c>
      <c r="H44" s="14" t="s">
        <v>88</v>
      </c>
      <c r="I44" s="14">
        <v>2</v>
      </c>
      <c r="J44" s="14" t="s">
        <v>13</v>
      </c>
      <c r="K44" s="13"/>
    </row>
    <row r="45" spans="1:11" ht="24.95" customHeight="1" x14ac:dyDescent="0.25">
      <c r="A45" s="57"/>
      <c r="B45" s="57"/>
      <c r="C45" s="13" t="s">
        <v>263</v>
      </c>
      <c r="D45" s="13" t="s">
        <v>488</v>
      </c>
      <c r="E45" s="13" t="s">
        <v>489</v>
      </c>
      <c r="F45" s="14" t="s">
        <v>142</v>
      </c>
      <c r="G45" s="14">
        <v>1</v>
      </c>
      <c r="H45" s="14" t="s">
        <v>91</v>
      </c>
      <c r="I45" s="14">
        <v>1</v>
      </c>
      <c r="J45" s="14" t="s">
        <v>13</v>
      </c>
      <c r="K45" s="13"/>
    </row>
    <row r="46" spans="1:11" ht="24.95" customHeight="1" x14ac:dyDescent="0.25">
      <c r="A46" s="57"/>
      <c r="B46" s="57"/>
      <c r="C46" s="13" t="s">
        <v>263</v>
      </c>
      <c r="D46" s="13" t="s">
        <v>490</v>
      </c>
      <c r="E46" s="13" t="s">
        <v>491</v>
      </c>
      <c r="F46" s="14" t="s">
        <v>149</v>
      </c>
      <c r="G46" s="14">
        <v>1</v>
      </c>
      <c r="H46" s="14" t="s">
        <v>91</v>
      </c>
      <c r="I46" s="14">
        <v>1</v>
      </c>
      <c r="J46" s="14" t="s">
        <v>13</v>
      </c>
      <c r="K46" s="13"/>
    </row>
    <row r="47" spans="1:11" ht="24.95" customHeight="1" x14ac:dyDescent="0.25">
      <c r="A47" s="57"/>
      <c r="B47" s="57"/>
      <c r="C47" s="13" t="s">
        <v>888</v>
      </c>
      <c r="D47" s="13" t="s">
        <v>318</v>
      </c>
      <c r="E47" s="13" t="s">
        <v>492</v>
      </c>
      <c r="F47" s="14" t="s">
        <v>168</v>
      </c>
      <c r="G47" s="14">
        <v>1</v>
      </c>
      <c r="H47" s="14" t="s">
        <v>91</v>
      </c>
      <c r="I47" s="14">
        <v>2</v>
      </c>
      <c r="J47" s="14" t="s">
        <v>13</v>
      </c>
      <c r="K47" s="13"/>
    </row>
    <row r="48" spans="1:11" ht="24.95" customHeight="1" x14ac:dyDescent="0.25">
      <c r="A48" s="57"/>
      <c r="B48" s="57"/>
      <c r="C48" s="13" t="s">
        <v>888</v>
      </c>
      <c r="D48" s="13" t="s">
        <v>339</v>
      </c>
      <c r="E48" s="13" t="s">
        <v>608</v>
      </c>
      <c r="F48" s="14" t="s">
        <v>176</v>
      </c>
      <c r="G48" s="14">
        <v>2</v>
      </c>
      <c r="H48" s="14" t="s">
        <v>88</v>
      </c>
      <c r="I48" s="14">
        <v>2</v>
      </c>
      <c r="J48" s="14" t="s">
        <v>13</v>
      </c>
      <c r="K48" s="13"/>
    </row>
    <row r="49" spans="1:11" ht="24.95" customHeight="1" x14ac:dyDescent="0.25">
      <c r="A49" s="57"/>
      <c r="B49" s="57"/>
      <c r="C49" s="13" t="s">
        <v>882</v>
      </c>
      <c r="D49" s="13" t="s">
        <v>341</v>
      </c>
      <c r="E49" s="13" t="s">
        <v>609</v>
      </c>
      <c r="F49" s="14" t="s">
        <v>179</v>
      </c>
      <c r="G49" s="14">
        <v>2</v>
      </c>
      <c r="H49" s="14" t="s">
        <v>88</v>
      </c>
      <c r="I49" s="14">
        <v>2</v>
      </c>
      <c r="J49" s="14" t="s">
        <v>13</v>
      </c>
      <c r="K49" s="13"/>
    </row>
    <row r="50" spans="1:11" ht="24.95" customHeight="1" x14ac:dyDescent="0.25">
      <c r="A50" s="57"/>
      <c r="B50" s="57"/>
      <c r="C50" s="13" t="s">
        <v>882</v>
      </c>
      <c r="D50" s="13" t="s">
        <v>343</v>
      </c>
      <c r="E50" s="13" t="s">
        <v>605</v>
      </c>
      <c r="F50" s="14" t="s">
        <v>181</v>
      </c>
      <c r="G50" s="14">
        <v>2</v>
      </c>
      <c r="H50" s="14" t="s">
        <v>88</v>
      </c>
      <c r="I50" s="14">
        <v>2</v>
      </c>
      <c r="J50" s="14" t="s">
        <v>13</v>
      </c>
      <c r="K50" s="13"/>
    </row>
    <row r="51" spans="1:11" ht="24.95" customHeight="1" x14ac:dyDescent="0.25">
      <c r="A51" s="57"/>
      <c r="B51" s="57"/>
      <c r="C51" s="13" t="s">
        <v>888</v>
      </c>
      <c r="D51" s="13" t="s">
        <v>372</v>
      </c>
      <c r="E51" s="13" t="s">
        <v>493</v>
      </c>
      <c r="F51" s="14" t="s">
        <v>199</v>
      </c>
      <c r="G51" s="14">
        <v>2</v>
      </c>
      <c r="H51" s="14" t="s">
        <v>88</v>
      </c>
      <c r="I51" s="14">
        <v>2</v>
      </c>
      <c r="J51" s="14" t="s">
        <v>13</v>
      </c>
      <c r="K51" s="13"/>
    </row>
    <row r="52" spans="1:11" ht="24.95" customHeight="1" x14ac:dyDescent="0.25">
      <c r="A52" s="57"/>
      <c r="B52" s="57"/>
      <c r="C52" s="13" t="s">
        <v>888</v>
      </c>
      <c r="D52" s="13" t="s">
        <v>319</v>
      </c>
      <c r="E52" s="13" t="s">
        <v>494</v>
      </c>
      <c r="F52" s="14" t="s">
        <v>169</v>
      </c>
      <c r="G52" s="14">
        <v>3</v>
      </c>
      <c r="H52" s="14" t="s">
        <v>95</v>
      </c>
      <c r="I52" s="14">
        <v>3</v>
      </c>
      <c r="J52" s="14" t="s">
        <v>13</v>
      </c>
      <c r="K52" s="13"/>
    </row>
    <row r="53" spans="1:11" ht="24.95" customHeight="1" x14ac:dyDescent="0.25">
      <c r="A53" s="58"/>
      <c r="B53" s="58"/>
      <c r="C53" s="13" t="s">
        <v>888</v>
      </c>
      <c r="D53" s="13" t="s">
        <v>345</v>
      </c>
      <c r="E53" s="13" t="s">
        <v>610</v>
      </c>
      <c r="F53" s="14" t="s">
        <v>184</v>
      </c>
      <c r="G53" s="14">
        <v>3</v>
      </c>
      <c r="H53" s="14" t="s">
        <v>95</v>
      </c>
      <c r="I53" s="14">
        <v>3</v>
      </c>
      <c r="J53" s="14" t="s">
        <v>13</v>
      </c>
      <c r="K53" s="13"/>
    </row>
    <row r="54" spans="1:11" ht="24.95" customHeight="1" x14ac:dyDescent="0.25">
      <c r="A54" s="56" t="s">
        <v>495</v>
      </c>
      <c r="B54" s="56" t="s">
        <v>496</v>
      </c>
      <c r="C54" s="13" t="s">
        <v>212</v>
      </c>
      <c r="D54" s="13" t="s">
        <v>497</v>
      </c>
      <c r="E54" s="13" t="s">
        <v>498</v>
      </c>
      <c r="F54" s="14" t="s">
        <v>123</v>
      </c>
      <c r="G54" s="14">
        <v>1</v>
      </c>
      <c r="H54" s="14" t="s">
        <v>91</v>
      </c>
      <c r="I54" s="14">
        <v>1</v>
      </c>
      <c r="J54" s="14" t="s">
        <v>13</v>
      </c>
      <c r="K54" s="13"/>
    </row>
    <row r="55" spans="1:11" ht="24.95" customHeight="1" x14ac:dyDescent="0.25">
      <c r="A55" s="57"/>
      <c r="B55" s="57"/>
      <c r="C55" s="13" t="s">
        <v>212</v>
      </c>
      <c r="D55" s="13" t="s">
        <v>499</v>
      </c>
      <c r="E55" s="13" t="s">
        <v>500</v>
      </c>
      <c r="F55" s="14" t="s">
        <v>132</v>
      </c>
      <c r="G55" s="14">
        <v>1</v>
      </c>
      <c r="H55" s="14" t="s">
        <v>91</v>
      </c>
      <c r="I55" s="14">
        <v>1</v>
      </c>
      <c r="J55" s="14" t="s">
        <v>13</v>
      </c>
      <c r="K55" s="13"/>
    </row>
    <row r="56" spans="1:11" ht="24.95" customHeight="1" x14ac:dyDescent="0.25">
      <c r="A56" s="57"/>
      <c r="B56" s="57"/>
      <c r="C56" s="13" t="s">
        <v>263</v>
      </c>
      <c r="D56" s="13" t="s">
        <v>501</v>
      </c>
      <c r="E56" s="13" t="s">
        <v>502</v>
      </c>
      <c r="F56" s="14" t="s">
        <v>144</v>
      </c>
      <c r="G56" s="14">
        <v>1</v>
      </c>
      <c r="H56" s="14" t="s">
        <v>91</v>
      </c>
      <c r="I56" s="14">
        <v>1</v>
      </c>
      <c r="J56" s="14" t="s">
        <v>13</v>
      </c>
      <c r="K56" s="13"/>
    </row>
    <row r="57" spans="1:11" ht="24.95" customHeight="1" x14ac:dyDescent="0.25">
      <c r="A57" s="57"/>
      <c r="B57" s="57"/>
      <c r="C57" s="13" t="s">
        <v>263</v>
      </c>
      <c r="D57" s="13" t="s">
        <v>503</v>
      </c>
      <c r="E57" s="13" t="s">
        <v>504</v>
      </c>
      <c r="F57" s="14" t="s">
        <v>145</v>
      </c>
      <c r="G57" s="14">
        <v>1</v>
      </c>
      <c r="H57" s="14" t="s">
        <v>91</v>
      </c>
      <c r="I57" s="14">
        <v>1</v>
      </c>
      <c r="J57" s="14" t="s">
        <v>13</v>
      </c>
      <c r="K57" s="13"/>
    </row>
    <row r="58" spans="1:11" ht="24.95" customHeight="1" x14ac:dyDescent="0.25">
      <c r="A58" s="57"/>
      <c r="B58" s="57"/>
      <c r="C58" s="13" t="s">
        <v>263</v>
      </c>
      <c r="D58" s="13" t="s">
        <v>505</v>
      </c>
      <c r="E58" s="13" t="s">
        <v>506</v>
      </c>
      <c r="F58" s="14" t="s">
        <v>147</v>
      </c>
      <c r="G58" s="14">
        <v>1</v>
      </c>
      <c r="H58" s="14" t="s">
        <v>91</v>
      </c>
      <c r="I58" s="14">
        <v>1</v>
      </c>
      <c r="J58" s="14" t="s">
        <v>13</v>
      </c>
      <c r="K58" s="13"/>
    </row>
    <row r="59" spans="1:11" ht="24.95" customHeight="1" x14ac:dyDescent="0.25">
      <c r="A59" s="57"/>
      <c r="B59" s="57"/>
      <c r="C59" s="13" t="s">
        <v>263</v>
      </c>
      <c r="D59" s="13" t="s">
        <v>507</v>
      </c>
      <c r="E59" s="13" t="s">
        <v>508</v>
      </c>
      <c r="F59" s="14" t="s">
        <v>148</v>
      </c>
      <c r="G59" s="14">
        <v>3</v>
      </c>
      <c r="H59" s="14" t="s">
        <v>88</v>
      </c>
      <c r="I59" s="14">
        <v>2</v>
      </c>
      <c r="J59" s="14" t="s">
        <v>13</v>
      </c>
      <c r="K59" s="13"/>
    </row>
    <row r="60" spans="1:11" ht="24.95" customHeight="1" x14ac:dyDescent="0.25">
      <c r="A60" s="57"/>
      <c r="B60" s="57"/>
      <c r="C60" s="13" t="s">
        <v>212</v>
      </c>
      <c r="D60" s="13" t="s">
        <v>509</v>
      </c>
      <c r="E60" s="13" t="s">
        <v>510</v>
      </c>
      <c r="F60" s="14" t="s">
        <v>21</v>
      </c>
      <c r="G60" s="14">
        <v>2</v>
      </c>
      <c r="H60" s="14" t="s">
        <v>88</v>
      </c>
      <c r="I60" s="14">
        <v>2</v>
      </c>
      <c r="J60" s="14" t="s">
        <v>13</v>
      </c>
      <c r="K60" s="13"/>
    </row>
    <row r="61" spans="1:11" ht="24.95" customHeight="1" x14ac:dyDescent="0.25">
      <c r="A61" s="57"/>
      <c r="B61" s="57"/>
      <c r="C61" s="13" t="s">
        <v>263</v>
      </c>
      <c r="D61" s="13" t="s">
        <v>511</v>
      </c>
      <c r="E61" s="13" t="s">
        <v>512</v>
      </c>
      <c r="F61" s="14" t="s">
        <v>155</v>
      </c>
      <c r="G61" s="14">
        <v>2</v>
      </c>
      <c r="H61" s="14" t="s">
        <v>88</v>
      </c>
      <c r="I61" s="14">
        <v>2</v>
      </c>
      <c r="J61" s="14" t="s">
        <v>13</v>
      </c>
      <c r="K61" s="13"/>
    </row>
    <row r="62" spans="1:11" ht="24.95" customHeight="1" x14ac:dyDescent="0.25">
      <c r="A62" s="58"/>
      <c r="B62" s="58"/>
      <c r="C62" s="13" t="s">
        <v>263</v>
      </c>
      <c r="D62" s="13" t="s">
        <v>513</v>
      </c>
      <c r="E62" s="13" t="s">
        <v>514</v>
      </c>
      <c r="F62" s="14" t="s">
        <v>146</v>
      </c>
      <c r="G62" s="14">
        <v>2</v>
      </c>
      <c r="H62" s="14" t="s">
        <v>88</v>
      </c>
      <c r="I62" s="14">
        <v>2</v>
      </c>
      <c r="J62" s="14" t="s">
        <v>13</v>
      </c>
      <c r="K62" s="13"/>
    </row>
    <row r="63" spans="1:11" ht="24.95" customHeight="1" x14ac:dyDescent="0.25">
      <c r="A63" s="56" t="s">
        <v>515</v>
      </c>
      <c r="B63" s="56" t="s">
        <v>516</v>
      </c>
      <c r="C63" s="13" t="s">
        <v>212</v>
      </c>
      <c r="D63" s="13" t="s">
        <v>517</v>
      </c>
      <c r="E63" s="13" t="s">
        <v>518</v>
      </c>
      <c r="F63" s="14" t="s">
        <v>94</v>
      </c>
      <c r="G63" s="14">
        <v>1</v>
      </c>
      <c r="H63" s="14" t="s">
        <v>91</v>
      </c>
      <c r="I63" s="14">
        <v>1</v>
      </c>
      <c r="J63" s="14" t="s">
        <v>13</v>
      </c>
      <c r="K63" s="13"/>
    </row>
    <row r="64" spans="1:11" ht="24.95" customHeight="1" x14ac:dyDescent="0.25">
      <c r="A64" s="57"/>
      <c r="B64" s="57"/>
      <c r="C64" s="13" t="s">
        <v>263</v>
      </c>
      <c r="D64" s="13" t="s">
        <v>519</v>
      </c>
      <c r="E64" s="13" t="s">
        <v>520</v>
      </c>
      <c r="F64" s="14" t="s">
        <v>154</v>
      </c>
      <c r="G64" s="14">
        <v>1</v>
      </c>
      <c r="H64" s="14" t="s">
        <v>91</v>
      </c>
      <c r="I64" s="14">
        <v>1</v>
      </c>
      <c r="J64" s="14" t="s">
        <v>13</v>
      </c>
      <c r="K64" s="13"/>
    </row>
    <row r="65" spans="1:11" ht="24.95" customHeight="1" x14ac:dyDescent="0.25">
      <c r="A65" s="57"/>
      <c r="B65" s="57"/>
      <c r="C65" s="13" t="s">
        <v>263</v>
      </c>
      <c r="D65" s="13" t="s">
        <v>521</v>
      </c>
      <c r="E65" s="13" t="s">
        <v>522</v>
      </c>
      <c r="F65" s="14" t="s">
        <v>153</v>
      </c>
      <c r="G65" s="14">
        <v>1</v>
      </c>
      <c r="H65" s="14" t="s">
        <v>91</v>
      </c>
      <c r="I65" s="14">
        <v>1</v>
      </c>
      <c r="J65" s="14" t="s">
        <v>13</v>
      </c>
      <c r="K65" s="13"/>
    </row>
    <row r="66" spans="1:11" ht="24.95" customHeight="1" x14ac:dyDescent="0.25">
      <c r="A66" s="57"/>
      <c r="B66" s="57"/>
      <c r="C66" s="13" t="s">
        <v>212</v>
      </c>
      <c r="D66" s="13" t="s">
        <v>525</v>
      </c>
      <c r="E66" s="13" t="s">
        <v>526</v>
      </c>
      <c r="F66" s="14" t="s">
        <v>136</v>
      </c>
      <c r="G66" s="14">
        <v>1</v>
      </c>
      <c r="H66" s="14" t="s">
        <v>91</v>
      </c>
      <c r="I66" s="14">
        <v>2</v>
      </c>
      <c r="J66" s="14" t="s">
        <v>13</v>
      </c>
      <c r="K66" s="13"/>
    </row>
    <row r="67" spans="1:11" ht="24.95" customHeight="1" x14ac:dyDescent="0.25">
      <c r="A67" s="58"/>
      <c r="B67" s="58"/>
      <c r="C67" s="13" t="s">
        <v>212</v>
      </c>
      <c r="D67" s="13" t="s">
        <v>523</v>
      </c>
      <c r="E67" s="13" t="s">
        <v>524</v>
      </c>
      <c r="F67" s="14" t="s">
        <v>134</v>
      </c>
      <c r="G67" s="14">
        <v>2</v>
      </c>
      <c r="H67" s="14" t="s">
        <v>88</v>
      </c>
      <c r="I67" s="14">
        <v>2</v>
      </c>
      <c r="J67" s="14" t="s">
        <v>13</v>
      </c>
      <c r="K67" s="13"/>
    </row>
    <row r="68" spans="1:11" ht="24.95" customHeight="1" x14ac:dyDescent="0.25">
      <c r="A68" s="56" t="s">
        <v>527</v>
      </c>
      <c r="B68" s="56" t="s">
        <v>528</v>
      </c>
      <c r="C68" s="13" t="s">
        <v>212</v>
      </c>
      <c r="D68" s="13" t="s">
        <v>529</v>
      </c>
      <c r="E68" s="13" t="s">
        <v>530</v>
      </c>
      <c r="F68" s="14" t="s">
        <v>124</v>
      </c>
      <c r="G68" s="14">
        <v>1</v>
      </c>
      <c r="H68" s="14" t="s">
        <v>91</v>
      </c>
      <c r="I68" s="14">
        <v>1</v>
      </c>
      <c r="J68" s="14" t="s">
        <v>13</v>
      </c>
      <c r="K68" s="13"/>
    </row>
    <row r="69" spans="1:11" ht="24.95" customHeight="1" x14ac:dyDescent="0.25">
      <c r="A69" s="57"/>
      <c r="B69" s="57"/>
      <c r="C69" s="13" t="s">
        <v>212</v>
      </c>
      <c r="D69" s="13" t="s">
        <v>531</v>
      </c>
      <c r="E69" s="13" t="s">
        <v>532</v>
      </c>
      <c r="F69" s="14" t="s">
        <v>93</v>
      </c>
      <c r="G69" s="14">
        <v>1</v>
      </c>
      <c r="H69" s="14" t="s">
        <v>91</v>
      </c>
      <c r="I69" s="14">
        <v>1</v>
      </c>
      <c r="J69" s="14" t="s">
        <v>13</v>
      </c>
      <c r="K69" s="13"/>
    </row>
    <row r="70" spans="1:11" ht="24.95" customHeight="1" x14ac:dyDescent="0.25">
      <c r="A70" s="57"/>
      <c r="B70" s="57"/>
      <c r="C70" s="13" t="s">
        <v>263</v>
      </c>
      <c r="D70" s="13" t="s">
        <v>533</v>
      </c>
      <c r="E70" s="13" t="s">
        <v>534</v>
      </c>
      <c r="F70" s="14" t="s">
        <v>156</v>
      </c>
      <c r="G70" s="14">
        <v>1</v>
      </c>
      <c r="H70" s="14" t="s">
        <v>91</v>
      </c>
      <c r="I70" s="14">
        <v>1</v>
      </c>
      <c r="J70" s="14" t="s">
        <v>13</v>
      </c>
      <c r="K70" s="13"/>
    </row>
    <row r="71" spans="1:11" ht="24.95" customHeight="1" x14ac:dyDescent="0.25">
      <c r="A71" s="57"/>
      <c r="B71" s="57"/>
      <c r="C71" s="13" t="s">
        <v>888</v>
      </c>
      <c r="D71" s="13" t="s">
        <v>320</v>
      </c>
      <c r="E71" s="13" t="s">
        <v>535</v>
      </c>
      <c r="F71" s="14" t="s">
        <v>200</v>
      </c>
      <c r="G71" s="14">
        <v>1</v>
      </c>
      <c r="H71" s="14" t="s">
        <v>91</v>
      </c>
      <c r="I71" s="14">
        <v>2</v>
      </c>
      <c r="J71" s="14" t="s">
        <v>13</v>
      </c>
      <c r="K71" s="13"/>
    </row>
    <row r="72" spans="1:11" ht="24.95" customHeight="1" x14ac:dyDescent="0.25">
      <c r="A72" s="57"/>
      <c r="B72" s="57"/>
      <c r="C72" s="13" t="s">
        <v>888</v>
      </c>
      <c r="D72" s="13" t="s">
        <v>424</v>
      </c>
      <c r="E72" s="13" t="s">
        <v>536</v>
      </c>
      <c r="F72" s="14" t="s">
        <v>207</v>
      </c>
      <c r="G72" s="14">
        <v>3</v>
      </c>
      <c r="H72" s="14" t="s">
        <v>95</v>
      </c>
      <c r="I72" s="14">
        <v>3</v>
      </c>
      <c r="J72" s="14" t="s">
        <v>13</v>
      </c>
      <c r="K72" s="13"/>
    </row>
    <row r="73" spans="1:11" ht="24.95" customHeight="1" x14ac:dyDescent="0.25">
      <c r="A73" s="58"/>
      <c r="B73" s="58"/>
      <c r="C73" s="13" t="s">
        <v>888</v>
      </c>
      <c r="D73" s="13" t="s">
        <v>321</v>
      </c>
      <c r="E73" s="13" t="s">
        <v>537</v>
      </c>
      <c r="F73" s="14" t="s">
        <v>201</v>
      </c>
      <c r="G73" s="14">
        <v>3</v>
      </c>
      <c r="H73" s="14" t="s">
        <v>95</v>
      </c>
      <c r="I73" s="14">
        <v>3</v>
      </c>
      <c r="J73" s="14" t="s">
        <v>13</v>
      </c>
      <c r="K73" s="13"/>
    </row>
    <row r="74" spans="1:11" ht="24.95" customHeight="1" x14ac:dyDescent="0.25">
      <c r="A74" s="56" t="s">
        <v>538</v>
      </c>
      <c r="B74" s="56" t="s">
        <v>539</v>
      </c>
      <c r="C74" s="13" t="s">
        <v>212</v>
      </c>
      <c r="D74" s="13" t="s">
        <v>540</v>
      </c>
      <c r="E74" s="13" t="s">
        <v>541</v>
      </c>
      <c r="F74" s="14" t="s">
        <v>125</v>
      </c>
      <c r="G74" s="14">
        <v>1</v>
      </c>
      <c r="H74" s="14" t="s">
        <v>91</v>
      </c>
      <c r="I74" s="14">
        <v>1</v>
      </c>
      <c r="J74" s="14" t="s">
        <v>13</v>
      </c>
      <c r="K74" s="13"/>
    </row>
    <row r="75" spans="1:11" ht="24.95" customHeight="1" x14ac:dyDescent="0.25">
      <c r="A75" s="57"/>
      <c r="B75" s="57"/>
      <c r="C75" s="13" t="s">
        <v>263</v>
      </c>
      <c r="D75" s="13" t="s">
        <v>542</v>
      </c>
      <c r="E75" s="13" t="s">
        <v>543</v>
      </c>
      <c r="F75" s="14" t="s">
        <v>151</v>
      </c>
      <c r="G75" s="14">
        <v>1</v>
      </c>
      <c r="H75" s="14" t="s">
        <v>91</v>
      </c>
      <c r="I75" s="14">
        <v>1</v>
      </c>
      <c r="J75" s="14" t="s">
        <v>13</v>
      </c>
      <c r="K75" s="13"/>
    </row>
    <row r="76" spans="1:11" ht="24.95" customHeight="1" x14ac:dyDescent="0.25">
      <c r="A76" s="57"/>
      <c r="B76" s="57"/>
      <c r="C76" s="13" t="s">
        <v>882</v>
      </c>
      <c r="D76" s="13" t="s">
        <v>333</v>
      </c>
      <c r="E76" s="13" t="s">
        <v>544</v>
      </c>
      <c r="F76" s="14" t="s">
        <v>170</v>
      </c>
      <c r="G76" s="14">
        <v>1</v>
      </c>
      <c r="H76" s="14" t="s">
        <v>91</v>
      </c>
      <c r="I76" s="14">
        <v>1</v>
      </c>
      <c r="J76" s="14" t="s">
        <v>13</v>
      </c>
      <c r="K76" s="13"/>
    </row>
    <row r="77" spans="1:11" ht="24.95" customHeight="1" x14ac:dyDescent="0.25">
      <c r="A77" s="57"/>
      <c r="B77" s="57"/>
      <c r="C77" s="13" t="s">
        <v>313</v>
      </c>
      <c r="D77" s="13" t="s">
        <v>428</v>
      </c>
      <c r="E77" s="13" t="s">
        <v>611</v>
      </c>
      <c r="F77" s="14" t="s">
        <v>209</v>
      </c>
      <c r="G77" s="14">
        <v>1</v>
      </c>
      <c r="H77" s="14" t="s">
        <v>88</v>
      </c>
      <c r="I77" s="14">
        <v>2</v>
      </c>
      <c r="J77" s="14" t="s">
        <v>13</v>
      </c>
      <c r="K77" s="13"/>
    </row>
    <row r="78" spans="1:11" ht="24.95" customHeight="1" x14ac:dyDescent="0.25">
      <c r="A78" s="57"/>
      <c r="B78" s="57"/>
      <c r="C78" s="13" t="s">
        <v>212</v>
      </c>
      <c r="D78" s="13" t="s">
        <v>545</v>
      </c>
      <c r="E78" s="13" t="s">
        <v>546</v>
      </c>
      <c r="F78" s="14" t="s">
        <v>133</v>
      </c>
      <c r="G78" s="14">
        <v>2</v>
      </c>
      <c r="H78" s="14" t="s">
        <v>88</v>
      </c>
      <c r="I78" s="14">
        <v>2</v>
      </c>
      <c r="J78" s="14" t="s">
        <v>13</v>
      </c>
      <c r="K78" s="13"/>
    </row>
    <row r="79" spans="1:11" ht="24.95" customHeight="1" x14ac:dyDescent="0.25">
      <c r="A79" s="57"/>
      <c r="B79" s="57"/>
      <c r="C79" s="13" t="s">
        <v>263</v>
      </c>
      <c r="D79" s="13" t="s">
        <v>547</v>
      </c>
      <c r="E79" s="13" t="s">
        <v>494</v>
      </c>
      <c r="F79" s="14" t="s">
        <v>152</v>
      </c>
      <c r="G79" s="14">
        <v>2</v>
      </c>
      <c r="H79" s="14" t="s">
        <v>88</v>
      </c>
      <c r="I79" s="14">
        <v>2</v>
      </c>
      <c r="J79" s="14" t="s">
        <v>13</v>
      </c>
      <c r="K79" s="13"/>
    </row>
    <row r="80" spans="1:11" ht="24.95" customHeight="1" x14ac:dyDescent="0.25">
      <c r="A80" s="58"/>
      <c r="B80" s="58"/>
      <c r="C80" s="13" t="s">
        <v>313</v>
      </c>
      <c r="D80" s="13" t="s">
        <v>354</v>
      </c>
      <c r="E80" s="13" t="s">
        <v>548</v>
      </c>
      <c r="F80" s="14" t="s">
        <v>203</v>
      </c>
      <c r="G80" s="14">
        <v>2</v>
      </c>
      <c r="H80" s="14" t="s">
        <v>88</v>
      </c>
      <c r="I80" s="14">
        <v>2</v>
      </c>
      <c r="J80" s="14" t="s">
        <v>13</v>
      </c>
      <c r="K80" s="13"/>
    </row>
    <row r="81" spans="1:11" ht="24.95" customHeight="1" x14ac:dyDescent="0.25">
      <c r="A81" s="56" t="s">
        <v>549</v>
      </c>
      <c r="B81" s="56" t="s">
        <v>550</v>
      </c>
      <c r="C81" s="13" t="s">
        <v>212</v>
      </c>
      <c r="D81" s="13" t="s">
        <v>551</v>
      </c>
      <c r="E81" s="13" t="s">
        <v>552</v>
      </c>
      <c r="F81" s="14" t="s">
        <v>126</v>
      </c>
      <c r="G81" s="14">
        <v>1</v>
      </c>
      <c r="H81" s="14" t="s">
        <v>91</v>
      </c>
      <c r="I81" s="14">
        <v>1</v>
      </c>
      <c r="J81" s="14" t="s">
        <v>13</v>
      </c>
      <c r="K81" s="13"/>
    </row>
    <row r="82" spans="1:11" ht="24.95" customHeight="1" x14ac:dyDescent="0.25">
      <c r="A82" s="57"/>
      <c r="B82" s="57"/>
      <c r="C82" s="13" t="s">
        <v>886</v>
      </c>
      <c r="D82" s="13" t="s">
        <v>332</v>
      </c>
      <c r="E82" s="13" t="s">
        <v>555</v>
      </c>
      <c r="F82" s="14" t="s">
        <v>166</v>
      </c>
      <c r="G82" s="14">
        <v>1</v>
      </c>
      <c r="H82" s="14" t="s">
        <v>91</v>
      </c>
      <c r="I82" s="14">
        <v>2</v>
      </c>
      <c r="J82" s="14" t="s">
        <v>13</v>
      </c>
      <c r="K82" s="13"/>
    </row>
    <row r="83" spans="1:11" ht="24.95" customHeight="1" x14ac:dyDescent="0.25">
      <c r="A83" s="57"/>
      <c r="B83" s="57"/>
      <c r="C83" s="13" t="s">
        <v>212</v>
      </c>
      <c r="D83" s="13" t="s">
        <v>553</v>
      </c>
      <c r="E83" s="13" t="s">
        <v>554</v>
      </c>
      <c r="F83" s="14" t="s">
        <v>127</v>
      </c>
      <c r="G83" s="14">
        <v>2</v>
      </c>
      <c r="H83" s="14" t="s">
        <v>88</v>
      </c>
      <c r="I83" s="14">
        <v>2</v>
      </c>
      <c r="J83" s="14" t="s">
        <v>13</v>
      </c>
      <c r="K83" s="13"/>
    </row>
    <row r="84" spans="1:11" ht="24.95" customHeight="1" x14ac:dyDescent="0.25">
      <c r="A84" s="58"/>
      <c r="B84" s="58"/>
      <c r="C84" s="13" t="s">
        <v>886</v>
      </c>
      <c r="D84" s="13" t="s">
        <v>346</v>
      </c>
      <c r="E84" s="13" t="s">
        <v>556</v>
      </c>
      <c r="F84" s="14" t="s">
        <v>185</v>
      </c>
      <c r="G84" s="14">
        <v>3</v>
      </c>
      <c r="H84" s="14" t="s">
        <v>88</v>
      </c>
      <c r="I84" s="14">
        <v>2</v>
      </c>
      <c r="J84" s="14" t="s">
        <v>13</v>
      </c>
      <c r="K84" s="13"/>
    </row>
    <row r="85" spans="1:11" ht="24.95" customHeight="1" x14ac:dyDescent="0.25">
      <c r="A85" s="56" t="s">
        <v>557</v>
      </c>
      <c r="B85" s="56" t="s">
        <v>558</v>
      </c>
      <c r="C85" s="13" t="s">
        <v>212</v>
      </c>
      <c r="D85" s="13" t="s">
        <v>559</v>
      </c>
      <c r="E85" s="13" t="s">
        <v>560</v>
      </c>
      <c r="F85" s="14" t="s">
        <v>128</v>
      </c>
      <c r="G85" s="14">
        <v>2</v>
      </c>
      <c r="H85" s="14" t="s">
        <v>88</v>
      </c>
      <c r="I85" s="14">
        <v>2</v>
      </c>
      <c r="J85" s="14" t="s">
        <v>13</v>
      </c>
      <c r="K85" s="13"/>
    </row>
    <row r="86" spans="1:11" ht="24.95" customHeight="1" x14ac:dyDescent="0.25">
      <c r="A86" s="57"/>
      <c r="B86" s="57"/>
      <c r="C86" s="13" t="s">
        <v>212</v>
      </c>
      <c r="D86" s="13" t="s">
        <v>561</v>
      </c>
      <c r="E86" s="13" t="s">
        <v>562</v>
      </c>
      <c r="F86" s="14" t="s">
        <v>129</v>
      </c>
      <c r="G86" s="14">
        <v>2</v>
      </c>
      <c r="H86" s="14" t="s">
        <v>88</v>
      </c>
      <c r="I86" s="14">
        <v>2</v>
      </c>
      <c r="J86" s="14" t="s">
        <v>13</v>
      </c>
      <c r="K86" s="13"/>
    </row>
    <row r="87" spans="1:11" ht="24.95" customHeight="1" x14ac:dyDescent="0.25">
      <c r="A87" s="58"/>
      <c r="B87" s="58"/>
      <c r="C87" s="13" t="s">
        <v>886</v>
      </c>
      <c r="D87" s="13" t="s">
        <v>563</v>
      </c>
      <c r="E87" s="13" t="s">
        <v>564</v>
      </c>
      <c r="F87" s="14" t="s">
        <v>210</v>
      </c>
      <c r="G87" s="14">
        <v>1</v>
      </c>
      <c r="H87" s="14" t="s">
        <v>88</v>
      </c>
      <c r="I87" s="14">
        <v>2</v>
      </c>
      <c r="J87" s="14" t="s">
        <v>13</v>
      </c>
      <c r="K87" s="13"/>
    </row>
    <row r="88" spans="1:11" ht="24.95" customHeight="1" x14ac:dyDescent="0.25">
      <c r="A88" s="56" t="s">
        <v>565</v>
      </c>
      <c r="B88" s="56" t="s">
        <v>566</v>
      </c>
      <c r="C88" s="13" t="s">
        <v>883</v>
      </c>
      <c r="D88" s="13" t="s">
        <v>567</v>
      </c>
      <c r="E88" s="13" t="s">
        <v>568</v>
      </c>
      <c r="F88" s="14" t="s">
        <v>159</v>
      </c>
      <c r="G88" s="14">
        <v>3</v>
      </c>
      <c r="H88" s="14" t="s">
        <v>91</v>
      </c>
      <c r="I88" s="14">
        <v>2</v>
      </c>
      <c r="J88" s="14" t="s">
        <v>13</v>
      </c>
      <c r="K88" s="13"/>
    </row>
    <row r="89" spans="1:11" ht="24.95" customHeight="1" x14ac:dyDescent="0.25">
      <c r="A89" s="57"/>
      <c r="B89" s="57"/>
      <c r="C89" s="13" t="s">
        <v>883</v>
      </c>
      <c r="D89" s="13" t="s">
        <v>569</v>
      </c>
      <c r="E89" s="13" t="s">
        <v>570</v>
      </c>
      <c r="F89" s="14" t="s">
        <v>160</v>
      </c>
      <c r="G89" s="14">
        <v>3</v>
      </c>
      <c r="H89" s="14" t="s">
        <v>91</v>
      </c>
      <c r="I89" s="14">
        <v>2</v>
      </c>
      <c r="J89" s="14" t="s">
        <v>13</v>
      </c>
      <c r="K89" s="13"/>
    </row>
    <row r="90" spans="1:11" ht="24.95" customHeight="1" x14ac:dyDescent="0.25">
      <c r="A90" s="58"/>
      <c r="B90" s="58"/>
      <c r="C90" s="13" t="s">
        <v>884</v>
      </c>
      <c r="D90" s="13" t="s">
        <v>334</v>
      </c>
      <c r="E90" s="13" t="s">
        <v>571</v>
      </c>
      <c r="F90" s="14" t="s">
        <v>171</v>
      </c>
      <c r="G90" s="14">
        <v>1</v>
      </c>
      <c r="H90" s="14" t="s">
        <v>91</v>
      </c>
      <c r="I90" s="14">
        <v>2</v>
      </c>
      <c r="J90" s="14" t="s">
        <v>13</v>
      </c>
      <c r="K90" s="13"/>
    </row>
    <row r="91" spans="1:11" ht="24.95" customHeight="1" x14ac:dyDescent="0.25">
      <c r="A91" s="56" t="s">
        <v>572</v>
      </c>
      <c r="B91" s="56" t="s">
        <v>573</v>
      </c>
      <c r="C91" s="13" t="s">
        <v>888</v>
      </c>
      <c r="D91" s="13" t="s">
        <v>580</v>
      </c>
      <c r="E91" s="13" t="s">
        <v>581</v>
      </c>
      <c r="F91" s="14" t="s">
        <v>162</v>
      </c>
      <c r="G91" s="14">
        <v>1</v>
      </c>
      <c r="H91" s="14" t="s">
        <v>91</v>
      </c>
      <c r="I91" s="14">
        <v>2</v>
      </c>
      <c r="J91" s="14" t="s">
        <v>13</v>
      </c>
      <c r="K91" s="13"/>
    </row>
    <row r="92" spans="1:11" ht="24.95" customHeight="1" x14ac:dyDescent="0.25">
      <c r="A92" s="57"/>
      <c r="B92" s="57"/>
      <c r="C92" s="13" t="s">
        <v>885</v>
      </c>
      <c r="D92" s="13" t="s">
        <v>340</v>
      </c>
      <c r="E92" s="13" t="s">
        <v>582</v>
      </c>
      <c r="F92" s="14" t="s">
        <v>177</v>
      </c>
      <c r="G92" s="14">
        <v>1</v>
      </c>
      <c r="H92" s="14" t="s">
        <v>91</v>
      </c>
      <c r="I92" s="14">
        <v>3</v>
      </c>
      <c r="J92" s="14" t="s">
        <v>13</v>
      </c>
      <c r="K92" s="13"/>
    </row>
    <row r="93" spans="1:11" ht="24.95" customHeight="1" x14ac:dyDescent="0.25">
      <c r="A93" s="57"/>
      <c r="B93" s="57"/>
      <c r="C93" s="13" t="s">
        <v>263</v>
      </c>
      <c r="D93" s="13" t="s">
        <v>574</v>
      </c>
      <c r="E93" s="13" t="s">
        <v>575</v>
      </c>
      <c r="F93" s="14" t="s">
        <v>161</v>
      </c>
      <c r="G93" s="14">
        <v>2</v>
      </c>
      <c r="H93" s="14" t="s">
        <v>88</v>
      </c>
      <c r="I93" s="14">
        <v>2</v>
      </c>
      <c r="J93" s="14" t="s">
        <v>13</v>
      </c>
      <c r="K93" s="13"/>
    </row>
    <row r="94" spans="1:11" ht="24.95" customHeight="1" x14ac:dyDescent="0.25">
      <c r="A94" s="57"/>
      <c r="B94" s="57"/>
      <c r="C94" s="13" t="s">
        <v>263</v>
      </c>
      <c r="D94" s="13" t="s">
        <v>576</v>
      </c>
      <c r="E94" s="13" t="s">
        <v>577</v>
      </c>
      <c r="F94" s="14" t="s">
        <v>150</v>
      </c>
      <c r="G94" s="14">
        <v>2</v>
      </c>
      <c r="H94" s="14" t="s">
        <v>88</v>
      </c>
      <c r="I94" s="14">
        <v>2</v>
      </c>
      <c r="J94" s="14" t="s">
        <v>13</v>
      </c>
      <c r="K94" s="13"/>
    </row>
    <row r="95" spans="1:11" ht="24.95" customHeight="1" x14ac:dyDescent="0.25">
      <c r="A95" s="57"/>
      <c r="B95" s="57"/>
      <c r="C95" s="13" t="s">
        <v>263</v>
      </c>
      <c r="D95" s="13" t="s">
        <v>578</v>
      </c>
      <c r="E95" s="13" t="s">
        <v>579</v>
      </c>
      <c r="F95" s="14" t="s">
        <v>157</v>
      </c>
      <c r="G95" s="14">
        <v>2</v>
      </c>
      <c r="H95" s="14" t="s">
        <v>88</v>
      </c>
      <c r="I95" s="14">
        <v>3</v>
      </c>
      <c r="J95" s="14" t="s">
        <v>13</v>
      </c>
      <c r="K95" s="13"/>
    </row>
    <row r="96" spans="1:11" ht="24.95" customHeight="1" x14ac:dyDescent="0.25">
      <c r="A96" s="57"/>
      <c r="B96" s="57"/>
      <c r="C96" s="13" t="s">
        <v>888</v>
      </c>
      <c r="D96" s="13" t="s">
        <v>347</v>
      </c>
      <c r="E96" s="13" t="s">
        <v>583</v>
      </c>
      <c r="F96" s="14" t="s">
        <v>186</v>
      </c>
      <c r="G96" s="14">
        <v>2</v>
      </c>
      <c r="H96" s="14" t="s">
        <v>88</v>
      </c>
      <c r="I96" s="14">
        <v>3</v>
      </c>
      <c r="J96" s="14" t="s">
        <v>13</v>
      </c>
      <c r="K96" s="13"/>
    </row>
    <row r="97" spans="1:11" ht="24.95" customHeight="1" x14ac:dyDescent="0.25">
      <c r="A97" s="57"/>
      <c r="B97" s="57"/>
      <c r="C97" s="13" t="s">
        <v>882</v>
      </c>
      <c r="D97" s="13" t="s">
        <v>584</v>
      </c>
      <c r="E97" s="13" t="s">
        <v>585</v>
      </c>
      <c r="F97" s="14" t="s">
        <v>197</v>
      </c>
      <c r="G97" s="14">
        <v>2</v>
      </c>
      <c r="H97" s="14" t="s">
        <v>88</v>
      </c>
      <c r="I97" s="14">
        <v>3</v>
      </c>
      <c r="J97" s="14" t="s">
        <v>13</v>
      </c>
      <c r="K97" s="13"/>
    </row>
    <row r="98" spans="1:11" ht="24.95" customHeight="1" x14ac:dyDescent="0.25">
      <c r="A98" s="57"/>
      <c r="B98" s="57"/>
      <c r="C98" s="13" t="s">
        <v>886</v>
      </c>
      <c r="D98" s="13" t="s">
        <v>338</v>
      </c>
      <c r="E98" s="13" t="s">
        <v>612</v>
      </c>
      <c r="F98" s="14" t="s">
        <v>175</v>
      </c>
      <c r="G98" s="14">
        <v>2</v>
      </c>
      <c r="H98" s="14" t="s">
        <v>88</v>
      </c>
      <c r="I98" s="14">
        <v>3</v>
      </c>
      <c r="J98" s="14" t="s">
        <v>13</v>
      </c>
      <c r="K98" s="13"/>
    </row>
    <row r="99" spans="1:11" ht="24.95" customHeight="1" x14ac:dyDescent="0.25">
      <c r="A99" s="57"/>
      <c r="B99" s="57"/>
      <c r="C99" s="13" t="s">
        <v>886</v>
      </c>
      <c r="D99" s="13" t="s">
        <v>335</v>
      </c>
      <c r="E99" s="13" t="s">
        <v>593</v>
      </c>
      <c r="F99" s="14" t="s">
        <v>172</v>
      </c>
      <c r="G99" s="14">
        <v>2</v>
      </c>
      <c r="H99" s="14" t="s">
        <v>88</v>
      </c>
      <c r="I99" s="14">
        <v>2</v>
      </c>
      <c r="J99" s="14" t="s">
        <v>13</v>
      </c>
      <c r="K99" s="13"/>
    </row>
    <row r="100" spans="1:11" ht="24.95" customHeight="1" x14ac:dyDescent="0.25">
      <c r="A100" s="57"/>
      <c r="B100" s="57"/>
      <c r="C100" s="13" t="s">
        <v>882</v>
      </c>
      <c r="D100" s="13" t="s">
        <v>344</v>
      </c>
      <c r="E100" s="13" t="s">
        <v>613</v>
      </c>
      <c r="F100" s="14" t="s">
        <v>183</v>
      </c>
      <c r="G100" s="14">
        <v>3</v>
      </c>
      <c r="H100" s="14" t="s">
        <v>95</v>
      </c>
      <c r="I100" s="14">
        <v>3</v>
      </c>
      <c r="J100" s="14" t="s">
        <v>13</v>
      </c>
      <c r="K100" s="13"/>
    </row>
    <row r="101" spans="1:11" ht="24.95" customHeight="1" x14ac:dyDescent="0.25">
      <c r="A101" s="58"/>
      <c r="B101" s="58"/>
      <c r="C101" s="13" t="s">
        <v>882</v>
      </c>
      <c r="D101" s="13" t="s">
        <v>337</v>
      </c>
      <c r="E101" s="13" t="s">
        <v>614</v>
      </c>
      <c r="F101" s="14" t="s">
        <v>174</v>
      </c>
      <c r="G101" s="14">
        <v>3</v>
      </c>
      <c r="H101" s="14" t="s">
        <v>95</v>
      </c>
      <c r="I101" s="14">
        <v>3</v>
      </c>
      <c r="J101" s="14" t="s">
        <v>13</v>
      </c>
      <c r="K101" s="13"/>
    </row>
    <row r="102" spans="1:11" ht="24.95" customHeight="1" x14ac:dyDescent="0.25">
      <c r="A102" s="56" t="s">
        <v>586</v>
      </c>
      <c r="B102" s="56" t="s">
        <v>587</v>
      </c>
      <c r="C102" s="13" t="s">
        <v>313</v>
      </c>
      <c r="D102" s="13" t="s">
        <v>349</v>
      </c>
      <c r="E102" s="13" t="s">
        <v>588</v>
      </c>
      <c r="F102" s="14" t="s">
        <v>195</v>
      </c>
      <c r="G102" s="14">
        <v>3</v>
      </c>
      <c r="H102" s="14" t="s">
        <v>91</v>
      </c>
      <c r="I102" s="14">
        <v>1</v>
      </c>
      <c r="J102" s="14" t="s">
        <v>13</v>
      </c>
      <c r="K102" s="13"/>
    </row>
    <row r="103" spans="1:11" ht="24.95" customHeight="1" x14ac:dyDescent="0.25">
      <c r="A103" s="57"/>
      <c r="B103" s="57"/>
      <c r="C103" s="13" t="s">
        <v>313</v>
      </c>
      <c r="D103" s="13" t="s">
        <v>589</v>
      </c>
      <c r="E103" s="13" t="s">
        <v>590</v>
      </c>
      <c r="F103" s="14" t="s">
        <v>196</v>
      </c>
      <c r="G103" s="14">
        <v>3</v>
      </c>
      <c r="H103" s="14" t="s">
        <v>91</v>
      </c>
      <c r="I103" s="14">
        <v>1</v>
      </c>
      <c r="J103" s="14" t="s">
        <v>13</v>
      </c>
      <c r="K103" s="13"/>
    </row>
    <row r="104" spans="1:11" ht="24.95" customHeight="1" x14ac:dyDescent="0.25">
      <c r="A104" s="57"/>
      <c r="B104" s="57"/>
      <c r="C104" s="13" t="s">
        <v>313</v>
      </c>
      <c r="D104" s="13" t="s">
        <v>591</v>
      </c>
      <c r="E104" s="13" t="s">
        <v>592</v>
      </c>
      <c r="F104" s="14" t="s">
        <v>204</v>
      </c>
      <c r="G104" s="14">
        <v>1</v>
      </c>
      <c r="H104" s="14" t="s">
        <v>91</v>
      </c>
      <c r="I104" s="14">
        <v>2</v>
      </c>
      <c r="J104" s="14" t="s">
        <v>13</v>
      </c>
      <c r="K104" s="13"/>
    </row>
    <row r="105" spans="1:11" ht="24.95" customHeight="1" x14ac:dyDescent="0.25">
      <c r="A105" s="58"/>
      <c r="B105" s="58"/>
      <c r="C105" s="13" t="s">
        <v>313</v>
      </c>
      <c r="D105" s="13" t="s">
        <v>353</v>
      </c>
      <c r="E105" s="13" t="s">
        <v>378</v>
      </c>
      <c r="F105" s="14" t="s">
        <v>202</v>
      </c>
      <c r="G105" s="14">
        <v>2</v>
      </c>
      <c r="H105" s="14" t="s">
        <v>88</v>
      </c>
      <c r="I105" s="14">
        <v>2</v>
      </c>
      <c r="J105" s="14" t="s">
        <v>13</v>
      </c>
      <c r="K105" s="13"/>
    </row>
    <row r="106" spans="1:11" ht="15.75" customHeight="1" x14ac:dyDescent="0.25"/>
    <row r="107" spans="1:11" ht="15.75" customHeight="1" x14ac:dyDescent="0.25"/>
    <row r="108" spans="1:11" ht="15.75" customHeight="1" x14ac:dyDescent="0.25"/>
    <row r="109" spans="1:11" ht="15.75" customHeight="1" x14ac:dyDescent="0.25"/>
    <row r="110" spans="1:11" ht="15.75" customHeight="1" x14ac:dyDescent="0.25"/>
    <row r="111" spans="1:11" ht="15.75" customHeight="1" x14ac:dyDescent="0.25"/>
    <row r="112" spans="1:11"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9">
    <mergeCell ref="A91:A101"/>
    <mergeCell ref="A68:A73"/>
    <mergeCell ref="B85:B87"/>
    <mergeCell ref="A11:A24"/>
    <mergeCell ref="A81:A84"/>
    <mergeCell ref="B68:B73"/>
    <mergeCell ref="B36:B41"/>
    <mergeCell ref="B88:B90"/>
    <mergeCell ref="A25:A30"/>
    <mergeCell ref="B102:B105"/>
    <mergeCell ref="A102:A105"/>
    <mergeCell ref="A54:A62"/>
    <mergeCell ref="A31:A35"/>
    <mergeCell ref="B63:B67"/>
    <mergeCell ref="A85:A87"/>
    <mergeCell ref="A88:A90"/>
    <mergeCell ref="A74:A80"/>
    <mergeCell ref="A42:A53"/>
    <mergeCell ref="B81:B84"/>
    <mergeCell ref="A36:A41"/>
    <mergeCell ref="B91:B101"/>
    <mergeCell ref="B74:B80"/>
    <mergeCell ref="B54:B62"/>
    <mergeCell ref="A63:A67"/>
    <mergeCell ref="B31:B35"/>
    <mergeCell ref="B6:B10"/>
    <mergeCell ref="B42:B53"/>
    <mergeCell ref="B25:B30"/>
    <mergeCell ref="B11:B24"/>
    <mergeCell ref="A6:A10"/>
    <mergeCell ref="J4:J5"/>
    <mergeCell ref="K4:K5"/>
    <mergeCell ref="A4:A5"/>
    <mergeCell ref="B4:B5"/>
    <mergeCell ref="C4:E4"/>
    <mergeCell ref="F4:F5"/>
    <mergeCell ref="G4:G5"/>
    <mergeCell ref="H4:H5"/>
    <mergeCell ref="I4:I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topLeftCell="A53" zoomScale="85" zoomScaleNormal="85" workbookViewId="0">
      <selection activeCell="B84" sqref="B84"/>
    </sheetView>
  </sheetViews>
  <sheetFormatPr defaultColWidth="14.42578125" defaultRowHeight="15" customHeight="1" x14ac:dyDescent="0.25"/>
  <cols>
    <col min="1" max="1" width="8.85546875" customWidth="1"/>
    <col min="2" max="2" width="36.85546875" customWidth="1"/>
    <col min="3" max="4" width="31.28515625" customWidth="1"/>
    <col min="5" max="5" width="9.7109375" style="15" customWidth="1"/>
    <col min="6" max="6" width="20" style="15" customWidth="1"/>
    <col min="7" max="7" width="24" customWidth="1"/>
    <col min="8" max="8" width="16" style="15" customWidth="1"/>
    <col min="10" max="26" width="8.85546875" customWidth="1"/>
  </cols>
  <sheetData>
    <row r="1" spans="1:9" x14ac:dyDescent="0.25">
      <c r="C1" s="3"/>
      <c r="D1" s="3"/>
    </row>
    <row r="2" spans="1:9" x14ac:dyDescent="0.25">
      <c r="C2" s="3"/>
      <c r="D2" s="3"/>
    </row>
    <row r="3" spans="1:9" x14ac:dyDescent="0.25">
      <c r="C3" s="3"/>
      <c r="D3" s="3"/>
    </row>
    <row r="4" spans="1:9" ht="18" x14ac:dyDescent="0.25">
      <c r="A4" s="59" t="s">
        <v>79</v>
      </c>
      <c r="B4" s="62" t="s">
        <v>80</v>
      </c>
      <c r="C4" s="54"/>
      <c r="D4" s="55"/>
      <c r="E4" s="59" t="s">
        <v>81</v>
      </c>
      <c r="F4" s="59" t="s">
        <v>82</v>
      </c>
      <c r="G4" s="59" t="s">
        <v>83</v>
      </c>
      <c r="H4" s="59" t="s">
        <v>7</v>
      </c>
      <c r="I4" s="59" t="s">
        <v>10</v>
      </c>
    </row>
    <row r="5" spans="1:9" ht="36" x14ac:dyDescent="0.25">
      <c r="A5" s="61"/>
      <c r="B5" s="4" t="s">
        <v>84</v>
      </c>
      <c r="C5" s="5" t="s">
        <v>85</v>
      </c>
      <c r="D5" s="5" t="s">
        <v>86</v>
      </c>
      <c r="E5" s="60"/>
      <c r="F5" s="60"/>
      <c r="G5" s="61"/>
      <c r="H5" s="60"/>
      <c r="I5" s="61"/>
    </row>
    <row r="6" spans="1:9" ht="39.950000000000003" customHeight="1" x14ac:dyDescent="0.25">
      <c r="A6" s="11" t="s">
        <v>87</v>
      </c>
      <c r="B6" s="11" t="s">
        <v>212</v>
      </c>
      <c r="C6" s="11" t="s">
        <v>213</v>
      </c>
      <c r="D6" s="11" t="s">
        <v>238</v>
      </c>
      <c r="E6" s="16">
        <v>1</v>
      </c>
      <c r="F6" s="16" t="s">
        <v>91</v>
      </c>
      <c r="G6" s="11" t="s">
        <v>837</v>
      </c>
      <c r="H6" s="16" t="s">
        <v>13</v>
      </c>
      <c r="I6" s="11"/>
    </row>
    <row r="7" spans="1:9" ht="39.950000000000003" customHeight="1" x14ac:dyDescent="0.25">
      <c r="A7" s="11" t="s">
        <v>89</v>
      </c>
      <c r="B7" s="11" t="s">
        <v>212</v>
      </c>
      <c r="C7" s="11" t="s">
        <v>214</v>
      </c>
      <c r="D7" s="11" t="s">
        <v>239</v>
      </c>
      <c r="E7" s="16">
        <v>2</v>
      </c>
      <c r="F7" s="16" t="s">
        <v>88</v>
      </c>
      <c r="G7" s="11"/>
      <c r="H7" s="16" t="s">
        <v>13</v>
      </c>
      <c r="I7" s="11"/>
    </row>
    <row r="8" spans="1:9" ht="39.950000000000003" customHeight="1" x14ac:dyDescent="0.25">
      <c r="A8" s="11" t="s">
        <v>90</v>
      </c>
      <c r="B8" s="11" t="s">
        <v>212</v>
      </c>
      <c r="C8" s="11" t="s">
        <v>215</v>
      </c>
      <c r="D8" s="11" t="s">
        <v>240</v>
      </c>
      <c r="E8" s="16">
        <v>1</v>
      </c>
      <c r="F8" s="16" t="s">
        <v>91</v>
      </c>
      <c r="G8" s="11" t="s">
        <v>843</v>
      </c>
      <c r="H8" s="16" t="s">
        <v>13</v>
      </c>
      <c r="I8" s="11"/>
    </row>
    <row r="9" spans="1:9" ht="39.950000000000003" customHeight="1" x14ac:dyDescent="0.25">
      <c r="A9" s="11" t="s">
        <v>16</v>
      </c>
      <c r="B9" s="11" t="s">
        <v>212</v>
      </c>
      <c r="C9" s="11" t="s">
        <v>216</v>
      </c>
      <c r="D9" s="11" t="s">
        <v>241</v>
      </c>
      <c r="E9" s="16">
        <v>1</v>
      </c>
      <c r="F9" s="16" t="s">
        <v>91</v>
      </c>
      <c r="G9" s="11"/>
      <c r="H9" s="16" t="s">
        <v>13</v>
      </c>
      <c r="I9" s="11"/>
    </row>
    <row r="10" spans="1:9" ht="39.950000000000003" customHeight="1" x14ac:dyDescent="0.25">
      <c r="A10" s="11" t="s">
        <v>19</v>
      </c>
      <c r="B10" s="11" t="s">
        <v>212</v>
      </c>
      <c r="C10" s="11" t="s">
        <v>217</v>
      </c>
      <c r="D10" s="11" t="s">
        <v>242</v>
      </c>
      <c r="E10" s="16">
        <v>1</v>
      </c>
      <c r="F10" s="16" t="s">
        <v>91</v>
      </c>
      <c r="G10" s="11"/>
      <c r="H10" s="16" t="s">
        <v>13</v>
      </c>
      <c r="I10" s="11"/>
    </row>
    <row r="11" spans="1:9" ht="39.950000000000003" customHeight="1" x14ac:dyDescent="0.25">
      <c r="A11" s="11" t="s">
        <v>92</v>
      </c>
      <c r="B11" s="11" t="s">
        <v>212</v>
      </c>
      <c r="C11" s="11" t="s">
        <v>218</v>
      </c>
      <c r="D11" s="11" t="s">
        <v>243</v>
      </c>
      <c r="E11" s="16">
        <v>1</v>
      </c>
      <c r="F11" s="16" t="s">
        <v>91</v>
      </c>
      <c r="G11" s="11"/>
      <c r="H11" s="16" t="s">
        <v>13</v>
      </c>
      <c r="I11" s="11"/>
    </row>
    <row r="12" spans="1:9" ht="39.950000000000003" customHeight="1" x14ac:dyDescent="0.25">
      <c r="A12" s="11" t="s">
        <v>35</v>
      </c>
      <c r="B12" s="11" t="s">
        <v>212</v>
      </c>
      <c r="C12" s="11" t="s">
        <v>219</v>
      </c>
      <c r="D12" s="11" t="s">
        <v>244</v>
      </c>
      <c r="E12" s="16">
        <v>1</v>
      </c>
      <c r="F12" s="16" t="s">
        <v>91</v>
      </c>
      <c r="G12" s="11" t="s">
        <v>844</v>
      </c>
      <c r="H12" s="16" t="s">
        <v>13</v>
      </c>
      <c r="I12" s="11"/>
    </row>
    <row r="13" spans="1:9" ht="39.950000000000003" customHeight="1" x14ac:dyDescent="0.25">
      <c r="A13" s="11" t="s">
        <v>44</v>
      </c>
      <c r="B13" s="11" t="s">
        <v>212</v>
      </c>
      <c r="C13" s="11" t="s">
        <v>220</v>
      </c>
      <c r="D13" s="11" t="s">
        <v>245</v>
      </c>
      <c r="E13" s="16">
        <v>2</v>
      </c>
      <c r="F13" s="16" t="s">
        <v>88</v>
      </c>
      <c r="G13" s="11"/>
      <c r="H13" s="16" t="s">
        <v>13</v>
      </c>
      <c r="I13" s="11"/>
    </row>
    <row r="14" spans="1:9" ht="39.950000000000003" customHeight="1" x14ac:dyDescent="0.25">
      <c r="A14" s="11" t="s">
        <v>93</v>
      </c>
      <c r="B14" s="11" t="s">
        <v>212</v>
      </c>
      <c r="C14" s="11" t="s">
        <v>221</v>
      </c>
      <c r="D14" s="11" t="s">
        <v>246</v>
      </c>
      <c r="E14" s="16">
        <v>1</v>
      </c>
      <c r="F14" s="16" t="s">
        <v>91</v>
      </c>
      <c r="G14" s="11"/>
      <c r="H14" s="16" t="s">
        <v>13</v>
      </c>
      <c r="I14" s="11"/>
    </row>
    <row r="15" spans="1:9" ht="39.950000000000003" customHeight="1" x14ac:dyDescent="0.25">
      <c r="A15" s="11" t="s">
        <v>21</v>
      </c>
      <c r="B15" s="11" t="s">
        <v>212</v>
      </c>
      <c r="C15" s="11" t="s">
        <v>222</v>
      </c>
      <c r="D15" s="11" t="s">
        <v>247</v>
      </c>
      <c r="E15" s="16">
        <v>2</v>
      </c>
      <c r="F15" s="16" t="s">
        <v>88</v>
      </c>
      <c r="G15" s="11"/>
      <c r="H15" s="16" t="s">
        <v>13</v>
      </c>
      <c r="I15" s="11"/>
    </row>
    <row r="16" spans="1:9" ht="39.950000000000003" customHeight="1" x14ac:dyDescent="0.25">
      <c r="A16" s="11" t="s">
        <v>94</v>
      </c>
      <c r="B16" s="11" t="s">
        <v>212</v>
      </c>
      <c r="C16" s="11" t="s">
        <v>223</v>
      </c>
      <c r="D16" s="11" t="s">
        <v>248</v>
      </c>
      <c r="E16" s="16">
        <v>1</v>
      </c>
      <c r="F16" s="16" t="s">
        <v>91</v>
      </c>
      <c r="G16" s="11"/>
      <c r="H16" s="16" t="s">
        <v>13</v>
      </c>
      <c r="I16" s="11"/>
    </row>
    <row r="17" spans="1:9" ht="39.950000000000003" customHeight="1" x14ac:dyDescent="0.25">
      <c r="A17" s="11" t="s">
        <v>123</v>
      </c>
      <c r="B17" s="11" t="s">
        <v>212</v>
      </c>
      <c r="C17" s="11" t="s">
        <v>224</v>
      </c>
      <c r="D17" s="11" t="s">
        <v>249</v>
      </c>
      <c r="E17" s="16">
        <v>1</v>
      </c>
      <c r="F17" s="16" t="s">
        <v>91</v>
      </c>
      <c r="G17" s="11"/>
      <c r="H17" s="16" t="s">
        <v>13</v>
      </c>
      <c r="I17" s="11"/>
    </row>
    <row r="18" spans="1:9" ht="39.950000000000003" customHeight="1" x14ac:dyDescent="0.25">
      <c r="A18" s="11" t="s">
        <v>124</v>
      </c>
      <c r="B18" s="11" t="s">
        <v>212</v>
      </c>
      <c r="C18" s="11" t="s">
        <v>225</v>
      </c>
      <c r="D18" s="11" t="s">
        <v>250</v>
      </c>
      <c r="E18" s="16">
        <v>1</v>
      </c>
      <c r="F18" s="16" t="s">
        <v>91</v>
      </c>
      <c r="G18" s="11"/>
      <c r="H18" s="16" t="s">
        <v>13</v>
      </c>
      <c r="I18" s="11"/>
    </row>
    <row r="19" spans="1:9" ht="39.950000000000003" customHeight="1" x14ac:dyDescent="0.25">
      <c r="A19" s="11" t="s">
        <v>125</v>
      </c>
      <c r="B19" s="11" t="s">
        <v>212</v>
      </c>
      <c r="C19" s="11" t="s">
        <v>226</v>
      </c>
      <c r="D19" s="11" t="s">
        <v>251</v>
      </c>
      <c r="E19" s="16">
        <v>1</v>
      </c>
      <c r="F19" s="16" t="s">
        <v>91</v>
      </c>
      <c r="G19" s="11"/>
      <c r="H19" s="16" t="s">
        <v>13</v>
      </c>
      <c r="I19" s="11"/>
    </row>
    <row r="20" spans="1:9" ht="39.950000000000003" customHeight="1" x14ac:dyDescent="0.25">
      <c r="A20" s="11" t="s">
        <v>126</v>
      </c>
      <c r="B20" s="11" t="s">
        <v>212</v>
      </c>
      <c r="C20" s="11" t="s">
        <v>227</v>
      </c>
      <c r="D20" s="11" t="s">
        <v>252</v>
      </c>
      <c r="E20" s="16">
        <v>1</v>
      </c>
      <c r="F20" s="16" t="s">
        <v>91</v>
      </c>
      <c r="G20" s="11"/>
      <c r="H20" s="16" t="s">
        <v>13</v>
      </c>
      <c r="I20" s="11"/>
    </row>
    <row r="21" spans="1:9" ht="39.950000000000003" customHeight="1" x14ac:dyDescent="0.25">
      <c r="A21" s="11" t="s">
        <v>127</v>
      </c>
      <c r="B21" s="11" t="s">
        <v>212</v>
      </c>
      <c r="C21" s="11" t="s">
        <v>228</v>
      </c>
      <c r="D21" s="11" t="s">
        <v>253</v>
      </c>
      <c r="E21" s="16">
        <v>2</v>
      </c>
      <c r="F21" s="16" t="s">
        <v>88</v>
      </c>
      <c r="G21" s="11"/>
      <c r="H21" s="16" t="s">
        <v>13</v>
      </c>
      <c r="I21" s="11"/>
    </row>
    <row r="22" spans="1:9" ht="39.950000000000003" customHeight="1" x14ac:dyDescent="0.25">
      <c r="A22" s="11" t="s">
        <v>128</v>
      </c>
      <c r="B22" s="11" t="s">
        <v>212</v>
      </c>
      <c r="C22" s="11" t="s">
        <v>229</v>
      </c>
      <c r="D22" s="11" t="s">
        <v>254</v>
      </c>
      <c r="E22" s="16">
        <v>2</v>
      </c>
      <c r="F22" s="16" t="s">
        <v>88</v>
      </c>
      <c r="G22" s="11"/>
      <c r="H22" s="16" t="s">
        <v>13</v>
      </c>
      <c r="I22" s="11"/>
    </row>
    <row r="23" spans="1:9" ht="39.950000000000003" customHeight="1" x14ac:dyDescent="0.25">
      <c r="A23" s="11" t="s">
        <v>129</v>
      </c>
      <c r="B23" s="11" t="s">
        <v>212</v>
      </c>
      <c r="C23" s="11" t="s">
        <v>230</v>
      </c>
      <c r="D23" s="11" t="s">
        <v>255</v>
      </c>
      <c r="E23" s="16">
        <v>2</v>
      </c>
      <c r="F23" s="16" t="s">
        <v>88</v>
      </c>
      <c r="G23" s="11"/>
      <c r="H23" s="16" t="s">
        <v>13</v>
      </c>
      <c r="I23" s="11"/>
    </row>
    <row r="24" spans="1:9" ht="39.950000000000003" customHeight="1" x14ac:dyDescent="0.25">
      <c r="A24" s="11" t="s">
        <v>130</v>
      </c>
      <c r="B24" s="11" t="s">
        <v>212</v>
      </c>
      <c r="C24" s="11" t="s">
        <v>231</v>
      </c>
      <c r="D24" s="11" t="s">
        <v>256</v>
      </c>
      <c r="E24" s="16">
        <v>2</v>
      </c>
      <c r="F24" s="16" t="s">
        <v>88</v>
      </c>
      <c r="G24" s="11"/>
      <c r="H24" s="16" t="s">
        <v>13</v>
      </c>
      <c r="I24" s="11"/>
    </row>
    <row r="25" spans="1:9" ht="39.950000000000003" customHeight="1" x14ac:dyDescent="0.25">
      <c r="A25" s="11" t="s">
        <v>131</v>
      </c>
      <c r="B25" s="11" t="s">
        <v>212</v>
      </c>
      <c r="C25" s="11" t="s">
        <v>232</v>
      </c>
      <c r="D25" s="11" t="s">
        <v>257</v>
      </c>
      <c r="E25" s="16">
        <v>2</v>
      </c>
      <c r="F25" s="16" t="s">
        <v>88</v>
      </c>
      <c r="G25" s="11"/>
      <c r="H25" s="16" t="s">
        <v>13</v>
      </c>
      <c r="I25" s="11"/>
    </row>
    <row r="26" spans="1:9" ht="39.950000000000003" customHeight="1" x14ac:dyDescent="0.25">
      <c r="A26" s="11" t="s">
        <v>132</v>
      </c>
      <c r="B26" s="11" t="s">
        <v>212</v>
      </c>
      <c r="C26" s="11" t="s">
        <v>233</v>
      </c>
      <c r="D26" s="11" t="s">
        <v>258</v>
      </c>
      <c r="E26" s="16">
        <v>1</v>
      </c>
      <c r="F26" s="16" t="s">
        <v>91</v>
      </c>
      <c r="G26" s="11"/>
      <c r="H26" s="16" t="s">
        <v>13</v>
      </c>
      <c r="I26" s="11"/>
    </row>
    <row r="27" spans="1:9" ht="39.950000000000003" customHeight="1" x14ac:dyDescent="0.25">
      <c r="A27" s="11" t="s">
        <v>133</v>
      </c>
      <c r="B27" s="11" t="s">
        <v>212</v>
      </c>
      <c r="C27" s="11" t="s">
        <v>234</v>
      </c>
      <c r="D27" s="11" t="s">
        <v>259</v>
      </c>
      <c r="E27" s="16">
        <v>2</v>
      </c>
      <c r="F27" s="16" t="s">
        <v>88</v>
      </c>
      <c r="G27" s="11"/>
      <c r="H27" s="16" t="s">
        <v>13</v>
      </c>
      <c r="I27" s="11"/>
    </row>
    <row r="28" spans="1:9" ht="39.950000000000003" customHeight="1" x14ac:dyDescent="0.25">
      <c r="A28" s="11" t="s">
        <v>134</v>
      </c>
      <c r="B28" s="11" t="s">
        <v>212</v>
      </c>
      <c r="C28" s="11" t="s">
        <v>235</v>
      </c>
      <c r="D28" s="11" t="s">
        <v>260</v>
      </c>
      <c r="E28" s="16">
        <v>2</v>
      </c>
      <c r="F28" s="16" t="s">
        <v>88</v>
      </c>
      <c r="G28" s="11"/>
      <c r="H28" s="16" t="s">
        <v>13</v>
      </c>
      <c r="I28" s="11"/>
    </row>
    <row r="29" spans="1:9" ht="39.950000000000003" customHeight="1" x14ac:dyDescent="0.25">
      <c r="A29" s="11" t="s">
        <v>135</v>
      </c>
      <c r="B29" s="11" t="s">
        <v>212</v>
      </c>
      <c r="C29" s="11" t="s">
        <v>236</v>
      </c>
      <c r="D29" s="11" t="s">
        <v>261</v>
      </c>
      <c r="E29" s="16">
        <v>2</v>
      </c>
      <c r="F29" s="16" t="s">
        <v>88</v>
      </c>
      <c r="G29" s="11"/>
      <c r="H29" s="16" t="s">
        <v>13</v>
      </c>
      <c r="I29" s="11"/>
    </row>
    <row r="30" spans="1:9" ht="39.950000000000003" customHeight="1" x14ac:dyDescent="0.25">
      <c r="A30" s="11" t="s">
        <v>136</v>
      </c>
      <c r="B30" s="11" t="s">
        <v>212</v>
      </c>
      <c r="C30" s="11" t="s">
        <v>237</v>
      </c>
      <c r="D30" s="11" t="s">
        <v>262</v>
      </c>
      <c r="E30" s="16">
        <v>1</v>
      </c>
      <c r="F30" s="16" t="s">
        <v>91</v>
      </c>
      <c r="G30" s="11"/>
      <c r="H30" s="16" t="s">
        <v>13</v>
      </c>
      <c r="I30" s="11"/>
    </row>
    <row r="31" spans="1:9" ht="39.950000000000003" customHeight="1" x14ac:dyDescent="0.25">
      <c r="A31" s="12" t="s">
        <v>137</v>
      </c>
      <c r="B31" s="12" t="s">
        <v>263</v>
      </c>
      <c r="C31" s="12" t="s">
        <v>264</v>
      </c>
      <c r="D31" s="12" t="s">
        <v>288</v>
      </c>
      <c r="E31" s="16">
        <v>1</v>
      </c>
      <c r="F31" s="16" t="s">
        <v>91</v>
      </c>
      <c r="G31" s="12" t="s">
        <v>838</v>
      </c>
      <c r="H31" s="16" t="s">
        <v>13</v>
      </c>
      <c r="I31" s="12"/>
    </row>
    <row r="32" spans="1:9" ht="39.950000000000003" customHeight="1" x14ac:dyDescent="0.25">
      <c r="A32" s="12" t="s">
        <v>138</v>
      </c>
      <c r="B32" s="12" t="s">
        <v>263</v>
      </c>
      <c r="C32" s="12" t="s">
        <v>265</v>
      </c>
      <c r="D32" s="12" t="s">
        <v>289</v>
      </c>
      <c r="E32" s="16">
        <v>3</v>
      </c>
      <c r="F32" s="16" t="s">
        <v>91</v>
      </c>
      <c r="G32" s="12" t="s">
        <v>840</v>
      </c>
      <c r="H32" s="16" t="s">
        <v>13</v>
      </c>
      <c r="I32" s="12"/>
    </row>
    <row r="33" spans="1:9" ht="39.950000000000003" customHeight="1" x14ac:dyDescent="0.25">
      <c r="A33" s="12" t="s">
        <v>139</v>
      </c>
      <c r="B33" s="12" t="s">
        <v>263</v>
      </c>
      <c r="C33" s="12" t="s">
        <v>266</v>
      </c>
      <c r="D33" s="12" t="s">
        <v>290</v>
      </c>
      <c r="E33" s="16">
        <v>1</v>
      </c>
      <c r="F33" s="16" t="s">
        <v>91</v>
      </c>
      <c r="G33" s="12"/>
      <c r="H33" s="16" t="s">
        <v>13</v>
      </c>
      <c r="I33" s="12"/>
    </row>
    <row r="34" spans="1:9" ht="39.950000000000003" customHeight="1" x14ac:dyDescent="0.25">
      <c r="A34" s="12" t="s">
        <v>140</v>
      </c>
      <c r="B34" s="12" t="s">
        <v>263</v>
      </c>
      <c r="C34" s="12" t="s">
        <v>267</v>
      </c>
      <c r="D34" s="12" t="s">
        <v>291</v>
      </c>
      <c r="E34" s="16">
        <v>1</v>
      </c>
      <c r="F34" s="16" t="s">
        <v>91</v>
      </c>
      <c r="G34" s="12"/>
      <c r="H34" s="16" t="s">
        <v>13</v>
      </c>
      <c r="I34" s="12"/>
    </row>
    <row r="35" spans="1:9" ht="39.950000000000003" customHeight="1" x14ac:dyDescent="0.25">
      <c r="A35" s="12" t="s">
        <v>141</v>
      </c>
      <c r="B35" s="12" t="s">
        <v>263</v>
      </c>
      <c r="C35" s="12" t="s">
        <v>268</v>
      </c>
      <c r="D35" s="12" t="s">
        <v>292</v>
      </c>
      <c r="E35" s="16">
        <v>1</v>
      </c>
      <c r="F35" s="16" t="s">
        <v>91</v>
      </c>
      <c r="G35" s="12"/>
      <c r="H35" s="16" t="s">
        <v>13</v>
      </c>
      <c r="I35" s="12"/>
    </row>
    <row r="36" spans="1:9" ht="39.950000000000003" customHeight="1" x14ac:dyDescent="0.25">
      <c r="A36" s="12" t="s">
        <v>142</v>
      </c>
      <c r="B36" s="12" t="s">
        <v>263</v>
      </c>
      <c r="C36" s="12" t="s">
        <v>269</v>
      </c>
      <c r="D36" s="12" t="s">
        <v>293</v>
      </c>
      <c r="E36" s="16">
        <v>1</v>
      </c>
      <c r="F36" s="16" t="s">
        <v>91</v>
      </c>
      <c r="G36" s="12"/>
      <c r="H36" s="16" t="s">
        <v>13</v>
      </c>
      <c r="I36" s="12"/>
    </row>
    <row r="37" spans="1:9" ht="39.950000000000003" customHeight="1" x14ac:dyDescent="0.25">
      <c r="A37" s="12" t="s">
        <v>143</v>
      </c>
      <c r="B37" s="12" t="s">
        <v>263</v>
      </c>
      <c r="C37" s="12" t="s">
        <v>270</v>
      </c>
      <c r="D37" s="12" t="s">
        <v>294</v>
      </c>
      <c r="E37" s="16">
        <v>1</v>
      </c>
      <c r="F37" s="16" t="s">
        <v>91</v>
      </c>
      <c r="G37" s="12" t="s">
        <v>843</v>
      </c>
      <c r="H37" s="16" t="s">
        <v>13</v>
      </c>
      <c r="I37" s="12"/>
    </row>
    <row r="38" spans="1:9" ht="39.950000000000003" customHeight="1" x14ac:dyDescent="0.25">
      <c r="A38" s="12" t="s">
        <v>144</v>
      </c>
      <c r="B38" s="12" t="s">
        <v>263</v>
      </c>
      <c r="C38" s="12" t="s">
        <v>271</v>
      </c>
      <c r="D38" s="12" t="s">
        <v>295</v>
      </c>
      <c r="E38" s="16">
        <v>1</v>
      </c>
      <c r="F38" s="16" t="s">
        <v>91</v>
      </c>
      <c r="G38" s="12" t="s">
        <v>839</v>
      </c>
      <c r="H38" s="16" t="s">
        <v>13</v>
      </c>
      <c r="I38" s="12"/>
    </row>
    <row r="39" spans="1:9" ht="39.950000000000003" customHeight="1" x14ac:dyDescent="0.25">
      <c r="A39" s="12" t="s">
        <v>145</v>
      </c>
      <c r="B39" s="12" t="s">
        <v>263</v>
      </c>
      <c r="C39" s="12" t="s">
        <v>272</v>
      </c>
      <c r="D39" s="12" t="s">
        <v>296</v>
      </c>
      <c r="E39" s="16">
        <v>1</v>
      </c>
      <c r="F39" s="16" t="s">
        <v>91</v>
      </c>
      <c r="G39" s="12"/>
      <c r="H39" s="16" t="s">
        <v>13</v>
      </c>
      <c r="I39" s="12"/>
    </row>
    <row r="40" spans="1:9" ht="39.950000000000003" customHeight="1" x14ac:dyDescent="0.25">
      <c r="A40" s="12" t="s">
        <v>146</v>
      </c>
      <c r="B40" s="12" t="s">
        <v>263</v>
      </c>
      <c r="C40" s="12" t="s">
        <v>273</v>
      </c>
      <c r="D40" s="12" t="s">
        <v>297</v>
      </c>
      <c r="E40" s="16">
        <v>2</v>
      </c>
      <c r="F40" s="16" t="s">
        <v>88</v>
      </c>
      <c r="G40" s="12"/>
      <c r="H40" s="16" t="s">
        <v>13</v>
      </c>
      <c r="I40" s="12"/>
    </row>
    <row r="41" spans="1:9" ht="39.950000000000003" customHeight="1" x14ac:dyDescent="0.25">
      <c r="A41" s="12" t="s">
        <v>147</v>
      </c>
      <c r="B41" s="12" t="s">
        <v>263</v>
      </c>
      <c r="C41" s="12" t="s">
        <v>274</v>
      </c>
      <c r="D41" s="12" t="s">
        <v>298</v>
      </c>
      <c r="E41" s="16">
        <v>1</v>
      </c>
      <c r="F41" s="16" t="s">
        <v>91</v>
      </c>
      <c r="G41" s="12"/>
      <c r="H41" s="16" t="s">
        <v>13</v>
      </c>
      <c r="I41" s="12"/>
    </row>
    <row r="42" spans="1:9" ht="39.950000000000003" customHeight="1" x14ac:dyDescent="0.25">
      <c r="A42" s="12" t="s">
        <v>148</v>
      </c>
      <c r="B42" s="12" t="s">
        <v>263</v>
      </c>
      <c r="C42" s="12" t="s">
        <v>275</v>
      </c>
      <c r="D42" s="12" t="s">
        <v>299</v>
      </c>
      <c r="E42" s="16">
        <v>3</v>
      </c>
      <c r="F42" s="16" t="s">
        <v>88</v>
      </c>
      <c r="G42" s="12"/>
      <c r="H42" s="16" t="s">
        <v>13</v>
      </c>
      <c r="I42" s="12"/>
    </row>
    <row r="43" spans="1:9" ht="39.950000000000003" customHeight="1" x14ac:dyDescent="0.25">
      <c r="A43" s="12" t="s">
        <v>149</v>
      </c>
      <c r="B43" s="12" t="s">
        <v>263</v>
      </c>
      <c r="C43" s="12" t="s">
        <v>276</v>
      </c>
      <c r="D43" s="12" t="s">
        <v>300</v>
      </c>
      <c r="E43" s="16">
        <v>1</v>
      </c>
      <c r="F43" s="16" t="s">
        <v>91</v>
      </c>
      <c r="G43" s="12"/>
      <c r="H43" s="16" t="s">
        <v>13</v>
      </c>
      <c r="I43" s="12"/>
    </row>
    <row r="44" spans="1:9" ht="39.950000000000003" customHeight="1" x14ac:dyDescent="0.25">
      <c r="A44" s="12" t="s">
        <v>150</v>
      </c>
      <c r="B44" s="12" t="s">
        <v>263</v>
      </c>
      <c r="C44" s="12" t="s">
        <v>277</v>
      </c>
      <c r="D44" s="12" t="s">
        <v>301</v>
      </c>
      <c r="E44" s="16">
        <v>2</v>
      </c>
      <c r="F44" s="16" t="s">
        <v>88</v>
      </c>
      <c r="G44" s="12"/>
      <c r="H44" s="16" t="s">
        <v>13</v>
      </c>
      <c r="I44" s="12"/>
    </row>
    <row r="45" spans="1:9" ht="39.950000000000003" customHeight="1" x14ac:dyDescent="0.25">
      <c r="A45" s="12" t="s">
        <v>151</v>
      </c>
      <c r="B45" s="12" t="s">
        <v>263</v>
      </c>
      <c r="C45" s="12" t="s">
        <v>278</v>
      </c>
      <c r="D45" s="12" t="s">
        <v>302</v>
      </c>
      <c r="E45" s="16">
        <v>1</v>
      </c>
      <c r="F45" s="16" t="s">
        <v>91</v>
      </c>
      <c r="G45" s="12"/>
      <c r="H45" s="16" t="s">
        <v>13</v>
      </c>
      <c r="I45" s="12"/>
    </row>
    <row r="46" spans="1:9" ht="39.950000000000003" customHeight="1" x14ac:dyDescent="0.25">
      <c r="A46" s="12" t="s">
        <v>152</v>
      </c>
      <c r="B46" s="12" t="s">
        <v>263</v>
      </c>
      <c r="C46" s="12" t="s">
        <v>279</v>
      </c>
      <c r="D46" s="12" t="s">
        <v>303</v>
      </c>
      <c r="E46" s="16">
        <v>2</v>
      </c>
      <c r="F46" s="16" t="s">
        <v>88</v>
      </c>
      <c r="G46" s="12"/>
      <c r="H46" s="16" t="s">
        <v>13</v>
      </c>
      <c r="I46" s="12"/>
    </row>
    <row r="47" spans="1:9" ht="39.950000000000003" customHeight="1" x14ac:dyDescent="0.25">
      <c r="A47" s="12" t="s">
        <v>153</v>
      </c>
      <c r="B47" s="12" t="s">
        <v>263</v>
      </c>
      <c r="C47" s="12" t="s">
        <v>280</v>
      </c>
      <c r="D47" s="12" t="s">
        <v>304</v>
      </c>
      <c r="E47" s="16">
        <v>1</v>
      </c>
      <c r="F47" s="16" t="s">
        <v>91</v>
      </c>
      <c r="G47" s="12"/>
      <c r="H47" s="16" t="s">
        <v>13</v>
      </c>
      <c r="I47" s="12"/>
    </row>
    <row r="48" spans="1:9" ht="39.950000000000003" customHeight="1" x14ac:dyDescent="0.25">
      <c r="A48" s="12" t="s">
        <v>154</v>
      </c>
      <c r="B48" s="12" t="s">
        <v>263</v>
      </c>
      <c r="C48" s="12" t="s">
        <v>281</v>
      </c>
      <c r="D48" s="12" t="s">
        <v>305</v>
      </c>
      <c r="E48" s="16">
        <v>1</v>
      </c>
      <c r="F48" s="16" t="s">
        <v>91</v>
      </c>
      <c r="G48" s="12"/>
      <c r="H48" s="16" t="s">
        <v>13</v>
      </c>
      <c r="I48" s="12"/>
    </row>
    <row r="49" spans="1:9" ht="39.950000000000003" customHeight="1" x14ac:dyDescent="0.25">
      <c r="A49" s="12" t="s">
        <v>155</v>
      </c>
      <c r="B49" s="12" t="s">
        <v>263</v>
      </c>
      <c r="C49" s="12" t="s">
        <v>282</v>
      </c>
      <c r="D49" s="12" t="s">
        <v>306</v>
      </c>
      <c r="E49" s="16">
        <v>2</v>
      </c>
      <c r="F49" s="16" t="s">
        <v>88</v>
      </c>
      <c r="G49" s="12"/>
      <c r="H49" s="16" t="s">
        <v>13</v>
      </c>
      <c r="I49" s="12"/>
    </row>
    <row r="50" spans="1:9" ht="39.950000000000003" customHeight="1" x14ac:dyDescent="0.25">
      <c r="A50" s="12" t="s">
        <v>156</v>
      </c>
      <c r="B50" s="12" t="s">
        <v>263</v>
      </c>
      <c r="C50" s="12" t="s">
        <v>225</v>
      </c>
      <c r="D50" s="12" t="s">
        <v>307</v>
      </c>
      <c r="E50" s="16">
        <v>1</v>
      </c>
      <c r="F50" s="16" t="s">
        <v>91</v>
      </c>
      <c r="G50" s="12"/>
      <c r="H50" s="16" t="s">
        <v>13</v>
      </c>
      <c r="I50" s="12"/>
    </row>
    <row r="51" spans="1:9" ht="39.950000000000003" customHeight="1" x14ac:dyDescent="0.25">
      <c r="A51" s="12" t="s">
        <v>157</v>
      </c>
      <c r="B51" s="12" t="s">
        <v>263</v>
      </c>
      <c r="C51" s="12" t="s">
        <v>283</v>
      </c>
      <c r="D51" s="12" t="s">
        <v>308</v>
      </c>
      <c r="E51" s="16">
        <v>2</v>
      </c>
      <c r="F51" s="16" t="s">
        <v>88</v>
      </c>
      <c r="G51" s="12"/>
      <c r="H51" s="16" t="s">
        <v>13</v>
      </c>
      <c r="I51" s="12"/>
    </row>
    <row r="52" spans="1:9" ht="39.950000000000003" customHeight="1" x14ac:dyDescent="0.25">
      <c r="A52" s="12" t="s">
        <v>158</v>
      </c>
      <c r="B52" s="12" t="s">
        <v>263</v>
      </c>
      <c r="C52" s="12" t="s">
        <v>284</v>
      </c>
      <c r="D52" s="12" t="s">
        <v>309</v>
      </c>
      <c r="E52" s="16">
        <v>2</v>
      </c>
      <c r="F52" s="16" t="s">
        <v>88</v>
      </c>
      <c r="G52" s="12"/>
      <c r="H52" s="16" t="s">
        <v>13</v>
      </c>
      <c r="I52" s="12"/>
    </row>
    <row r="53" spans="1:9" ht="39.950000000000003" customHeight="1" x14ac:dyDescent="0.25">
      <c r="A53" s="12" t="s">
        <v>159</v>
      </c>
      <c r="B53" s="12" t="s">
        <v>883</v>
      </c>
      <c r="C53" s="12" t="s">
        <v>285</v>
      </c>
      <c r="D53" s="12" t="s">
        <v>310</v>
      </c>
      <c r="E53" s="16">
        <v>3</v>
      </c>
      <c r="F53" s="16" t="s">
        <v>91</v>
      </c>
      <c r="G53" s="12"/>
      <c r="H53" s="16" t="s">
        <v>13</v>
      </c>
      <c r="I53" s="12"/>
    </row>
    <row r="54" spans="1:9" ht="39.950000000000003" customHeight="1" x14ac:dyDescent="0.25">
      <c r="A54" s="12" t="s">
        <v>160</v>
      </c>
      <c r="B54" s="12" t="s">
        <v>883</v>
      </c>
      <c r="C54" s="12" t="s">
        <v>286</v>
      </c>
      <c r="D54" s="12" t="s">
        <v>311</v>
      </c>
      <c r="E54" s="16">
        <v>3</v>
      </c>
      <c r="F54" s="16" t="s">
        <v>91</v>
      </c>
      <c r="G54" s="12"/>
      <c r="H54" s="16" t="s">
        <v>13</v>
      </c>
      <c r="I54" s="12"/>
    </row>
    <row r="55" spans="1:9" ht="39.950000000000003" customHeight="1" x14ac:dyDescent="0.25">
      <c r="A55" s="12" t="s">
        <v>161</v>
      </c>
      <c r="B55" s="12" t="s">
        <v>263</v>
      </c>
      <c r="C55" s="12" t="s">
        <v>287</v>
      </c>
      <c r="D55" s="12" t="s">
        <v>312</v>
      </c>
      <c r="E55" s="16">
        <v>2</v>
      </c>
      <c r="F55" s="16" t="s">
        <v>88</v>
      </c>
      <c r="G55" s="12"/>
      <c r="H55" s="16" t="s">
        <v>13</v>
      </c>
      <c r="I55" s="12"/>
    </row>
    <row r="56" spans="1:9" ht="39.950000000000003" customHeight="1" x14ac:dyDescent="0.25">
      <c r="A56" s="12" t="s">
        <v>162</v>
      </c>
      <c r="B56" s="12" t="s">
        <v>889</v>
      </c>
      <c r="C56" s="12" t="s">
        <v>328</v>
      </c>
      <c r="D56" s="12" t="s">
        <v>379</v>
      </c>
      <c r="E56" s="16">
        <v>1</v>
      </c>
      <c r="F56" s="16" t="s">
        <v>91</v>
      </c>
      <c r="G56" s="12"/>
      <c r="H56" s="16" t="s">
        <v>13</v>
      </c>
      <c r="I56" s="12"/>
    </row>
    <row r="57" spans="1:9" ht="39.950000000000003" customHeight="1" x14ac:dyDescent="0.25">
      <c r="A57" s="12" t="s">
        <v>163</v>
      </c>
      <c r="B57" s="12" t="s">
        <v>882</v>
      </c>
      <c r="C57" s="12" t="s">
        <v>329</v>
      </c>
      <c r="D57" s="12" t="s">
        <v>380</v>
      </c>
      <c r="E57" s="16">
        <v>2</v>
      </c>
      <c r="F57" s="16" t="s">
        <v>88</v>
      </c>
      <c r="G57" s="12"/>
      <c r="H57" s="16" t="s">
        <v>13</v>
      </c>
      <c r="I57" s="12"/>
    </row>
    <row r="58" spans="1:9" ht="39.950000000000003" customHeight="1" x14ac:dyDescent="0.25">
      <c r="A58" s="12" t="s">
        <v>164</v>
      </c>
      <c r="B58" s="12" t="s">
        <v>888</v>
      </c>
      <c r="C58" s="12" t="s">
        <v>330</v>
      </c>
      <c r="D58" s="12" t="s">
        <v>381</v>
      </c>
      <c r="E58" s="16">
        <v>2</v>
      </c>
      <c r="F58" s="16" t="s">
        <v>88</v>
      </c>
      <c r="G58" s="12"/>
      <c r="H58" s="16" t="s">
        <v>13</v>
      </c>
      <c r="I58" s="12"/>
    </row>
    <row r="59" spans="1:9" ht="39.950000000000003" customHeight="1" x14ac:dyDescent="0.25">
      <c r="A59" s="12" t="s">
        <v>165</v>
      </c>
      <c r="B59" s="12" t="s">
        <v>886</v>
      </c>
      <c r="C59" s="12" t="s">
        <v>331</v>
      </c>
      <c r="D59" s="12" t="s">
        <v>382</v>
      </c>
      <c r="E59" s="16">
        <v>1</v>
      </c>
      <c r="F59" s="16" t="s">
        <v>91</v>
      </c>
      <c r="G59" s="12"/>
      <c r="H59" s="16" t="s">
        <v>13</v>
      </c>
      <c r="I59" s="12"/>
    </row>
    <row r="60" spans="1:9" ht="39.950000000000003" customHeight="1" x14ac:dyDescent="0.25">
      <c r="A60" s="12" t="s">
        <v>166</v>
      </c>
      <c r="B60" s="12" t="s">
        <v>886</v>
      </c>
      <c r="C60" s="12" t="s">
        <v>332</v>
      </c>
      <c r="D60" s="12" t="s">
        <v>383</v>
      </c>
      <c r="E60" s="16">
        <v>1</v>
      </c>
      <c r="F60" s="16" t="s">
        <v>91</v>
      </c>
      <c r="G60" s="12"/>
      <c r="H60" s="16" t="s">
        <v>13</v>
      </c>
      <c r="I60" s="12"/>
    </row>
    <row r="61" spans="1:9" ht="39.950000000000003" customHeight="1" x14ac:dyDescent="0.25">
      <c r="A61" s="12" t="s">
        <v>167</v>
      </c>
      <c r="B61" s="12" t="s">
        <v>888</v>
      </c>
      <c r="C61" s="12" t="s">
        <v>323</v>
      </c>
      <c r="D61" s="12" t="s">
        <v>384</v>
      </c>
      <c r="E61" s="16">
        <v>2</v>
      </c>
      <c r="F61" s="16" t="s">
        <v>88</v>
      </c>
      <c r="G61" s="12"/>
      <c r="H61" s="16" t="s">
        <v>13</v>
      </c>
      <c r="I61" s="12"/>
    </row>
    <row r="62" spans="1:9" ht="39.950000000000003" customHeight="1" x14ac:dyDescent="0.25">
      <c r="A62" s="12" t="s">
        <v>168</v>
      </c>
      <c r="B62" s="12" t="s">
        <v>888</v>
      </c>
      <c r="C62" s="12" t="s">
        <v>318</v>
      </c>
      <c r="D62" s="12" t="s">
        <v>385</v>
      </c>
      <c r="E62" s="16">
        <v>1</v>
      </c>
      <c r="F62" s="16" t="s">
        <v>91</v>
      </c>
      <c r="G62" s="12"/>
      <c r="H62" s="16" t="s">
        <v>13</v>
      </c>
      <c r="I62" s="12"/>
    </row>
    <row r="63" spans="1:9" ht="39.950000000000003" customHeight="1" x14ac:dyDescent="0.25">
      <c r="A63" s="12" t="s">
        <v>169</v>
      </c>
      <c r="B63" s="12" t="s">
        <v>888</v>
      </c>
      <c r="C63" s="12" t="s">
        <v>357</v>
      </c>
      <c r="D63" s="12" t="s">
        <v>303</v>
      </c>
      <c r="E63" s="16">
        <v>3</v>
      </c>
      <c r="F63" s="16" t="s">
        <v>95</v>
      </c>
      <c r="G63" s="12"/>
      <c r="H63" s="16" t="s">
        <v>13</v>
      </c>
      <c r="I63" s="12"/>
    </row>
    <row r="64" spans="1:9" ht="39.950000000000003" customHeight="1" x14ac:dyDescent="0.25">
      <c r="A64" s="12" t="s">
        <v>170</v>
      </c>
      <c r="B64" s="12" t="s">
        <v>882</v>
      </c>
      <c r="C64" s="12" t="s">
        <v>333</v>
      </c>
      <c r="D64" s="12" t="s">
        <v>386</v>
      </c>
      <c r="E64" s="16">
        <v>1</v>
      </c>
      <c r="F64" s="16" t="s">
        <v>91</v>
      </c>
      <c r="G64" s="12"/>
      <c r="H64" s="16" t="s">
        <v>13</v>
      </c>
      <c r="I64" s="12"/>
    </row>
    <row r="65" spans="1:9" ht="39.950000000000003" customHeight="1" x14ac:dyDescent="0.25">
      <c r="A65" s="12" t="s">
        <v>171</v>
      </c>
      <c r="B65" s="12" t="s">
        <v>884</v>
      </c>
      <c r="C65" s="12" t="s">
        <v>334</v>
      </c>
      <c r="D65" s="12" t="s">
        <v>387</v>
      </c>
      <c r="E65" s="16">
        <v>1</v>
      </c>
      <c r="F65" s="16" t="s">
        <v>91</v>
      </c>
      <c r="G65" s="12"/>
      <c r="H65" s="16" t="s">
        <v>13</v>
      </c>
      <c r="I65" s="12"/>
    </row>
    <row r="66" spans="1:9" ht="39.950000000000003" customHeight="1" x14ac:dyDescent="0.25">
      <c r="A66" s="12" t="s">
        <v>172</v>
      </c>
      <c r="B66" s="12" t="s">
        <v>886</v>
      </c>
      <c r="C66" s="12" t="s">
        <v>358</v>
      </c>
      <c r="D66" s="12" t="s">
        <v>388</v>
      </c>
      <c r="E66" s="16">
        <v>2</v>
      </c>
      <c r="F66" s="16" t="s">
        <v>88</v>
      </c>
      <c r="G66" s="12"/>
      <c r="H66" s="16" t="s">
        <v>13</v>
      </c>
      <c r="I66" s="12"/>
    </row>
    <row r="67" spans="1:9" ht="39.950000000000003" customHeight="1" x14ac:dyDescent="0.25">
      <c r="A67" s="12" t="s">
        <v>173</v>
      </c>
      <c r="B67" s="12" t="s">
        <v>882</v>
      </c>
      <c r="C67" s="12" t="s">
        <v>336</v>
      </c>
      <c r="D67" s="12" t="s">
        <v>389</v>
      </c>
      <c r="E67" s="16">
        <v>1</v>
      </c>
      <c r="F67" s="16" t="s">
        <v>91</v>
      </c>
      <c r="G67" s="12"/>
      <c r="H67" s="16" t="s">
        <v>13</v>
      </c>
      <c r="I67" s="12"/>
    </row>
    <row r="68" spans="1:9" ht="39.950000000000003" customHeight="1" x14ac:dyDescent="0.25">
      <c r="A68" s="12" t="s">
        <v>174</v>
      </c>
      <c r="B68" s="12" t="s">
        <v>882</v>
      </c>
      <c r="C68" s="12" t="s">
        <v>359</v>
      </c>
      <c r="D68" s="12" t="s">
        <v>390</v>
      </c>
      <c r="E68" s="16">
        <v>3</v>
      </c>
      <c r="F68" s="16" t="s">
        <v>95</v>
      </c>
      <c r="G68" s="12"/>
      <c r="H68" s="16" t="s">
        <v>13</v>
      </c>
      <c r="I68" s="12"/>
    </row>
    <row r="69" spans="1:9" ht="39.950000000000003" customHeight="1" x14ac:dyDescent="0.25">
      <c r="A69" s="12" t="s">
        <v>175</v>
      </c>
      <c r="B69" s="12" t="s">
        <v>886</v>
      </c>
      <c r="C69" s="12" t="s">
        <v>360</v>
      </c>
      <c r="D69" s="12" t="s">
        <v>391</v>
      </c>
      <c r="E69" s="16">
        <v>2</v>
      </c>
      <c r="F69" s="16" t="s">
        <v>88</v>
      </c>
      <c r="G69" s="12"/>
      <c r="H69" s="16" t="s">
        <v>13</v>
      </c>
      <c r="I69" s="12"/>
    </row>
    <row r="70" spans="1:9" ht="39.950000000000003" customHeight="1" x14ac:dyDescent="0.25">
      <c r="A70" s="12" t="s">
        <v>176</v>
      </c>
      <c r="B70" s="12" t="s">
        <v>888</v>
      </c>
      <c r="C70" s="12" t="s">
        <v>361</v>
      </c>
      <c r="D70" s="12" t="s">
        <v>392</v>
      </c>
      <c r="E70" s="16">
        <v>2</v>
      </c>
      <c r="F70" s="16" t="s">
        <v>88</v>
      </c>
      <c r="G70" s="12"/>
      <c r="H70" s="16" t="s">
        <v>13</v>
      </c>
      <c r="I70" s="12"/>
    </row>
    <row r="71" spans="1:9" ht="39.950000000000003" customHeight="1" x14ac:dyDescent="0.25">
      <c r="A71" s="12" t="s">
        <v>177</v>
      </c>
      <c r="B71" s="12" t="s">
        <v>884</v>
      </c>
      <c r="C71" s="12" t="s">
        <v>362</v>
      </c>
      <c r="D71" s="12" t="s">
        <v>393</v>
      </c>
      <c r="E71" s="16">
        <v>1</v>
      </c>
      <c r="F71" s="16" t="s">
        <v>91</v>
      </c>
      <c r="G71" s="12"/>
      <c r="H71" s="16" t="s">
        <v>13</v>
      </c>
      <c r="I71" s="12"/>
    </row>
    <row r="72" spans="1:9" ht="39.950000000000003" customHeight="1" x14ac:dyDescent="0.25">
      <c r="A72" s="12" t="s">
        <v>178</v>
      </c>
      <c r="B72" s="12" t="s">
        <v>888</v>
      </c>
      <c r="C72" s="12" t="s">
        <v>363</v>
      </c>
      <c r="D72" s="12" t="s">
        <v>394</v>
      </c>
      <c r="E72" s="16">
        <v>3</v>
      </c>
      <c r="F72" s="16" t="s">
        <v>91</v>
      </c>
      <c r="G72" s="12"/>
      <c r="H72" s="16" t="s">
        <v>13</v>
      </c>
      <c r="I72" s="12"/>
    </row>
    <row r="73" spans="1:9" ht="39.950000000000003" customHeight="1" x14ac:dyDescent="0.25">
      <c r="A73" s="12" t="s">
        <v>179</v>
      </c>
      <c r="B73" s="12" t="s">
        <v>882</v>
      </c>
      <c r="C73" s="12" t="s">
        <v>341</v>
      </c>
      <c r="D73" s="12" t="s">
        <v>395</v>
      </c>
      <c r="E73" s="16">
        <v>2</v>
      </c>
      <c r="F73" s="16" t="s">
        <v>88</v>
      </c>
      <c r="G73" s="12"/>
      <c r="H73" s="16" t="s">
        <v>13</v>
      </c>
      <c r="I73" s="12"/>
    </row>
    <row r="74" spans="1:9" ht="39.950000000000003" customHeight="1" x14ac:dyDescent="0.25">
      <c r="A74" s="12" t="s">
        <v>180</v>
      </c>
      <c r="B74" s="12" t="s">
        <v>886</v>
      </c>
      <c r="C74" s="12" t="s">
        <v>364</v>
      </c>
      <c r="D74" s="12" t="s">
        <v>396</v>
      </c>
      <c r="E74" s="16">
        <v>3</v>
      </c>
      <c r="F74" s="16" t="s">
        <v>91</v>
      </c>
      <c r="G74" s="12"/>
      <c r="H74" s="16" t="s">
        <v>13</v>
      </c>
      <c r="I74" s="12"/>
    </row>
    <row r="75" spans="1:9" ht="39.950000000000003" customHeight="1" x14ac:dyDescent="0.25">
      <c r="A75" s="12" t="s">
        <v>181</v>
      </c>
      <c r="B75" s="12" t="s">
        <v>882</v>
      </c>
      <c r="C75" s="12" t="s">
        <v>343</v>
      </c>
      <c r="D75" s="12" t="s">
        <v>256</v>
      </c>
      <c r="E75" s="16">
        <v>2</v>
      </c>
      <c r="F75" s="16" t="s">
        <v>88</v>
      </c>
      <c r="G75" s="12"/>
      <c r="H75" s="16" t="s">
        <v>13</v>
      </c>
      <c r="I75" s="12"/>
    </row>
    <row r="76" spans="1:9" ht="39.950000000000003" customHeight="1" x14ac:dyDescent="0.25">
      <c r="A76" s="12" t="s">
        <v>182</v>
      </c>
      <c r="B76" s="12" t="s">
        <v>888</v>
      </c>
      <c r="C76" s="12" t="s">
        <v>365</v>
      </c>
      <c r="D76" s="12" t="s">
        <v>397</v>
      </c>
      <c r="E76" s="16">
        <v>3</v>
      </c>
      <c r="F76" s="16" t="s">
        <v>91</v>
      </c>
      <c r="G76" s="12"/>
      <c r="H76" s="16" t="s">
        <v>13</v>
      </c>
      <c r="I76" s="12"/>
    </row>
    <row r="77" spans="1:9" ht="39.950000000000003" customHeight="1" x14ac:dyDescent="0.25">
      <c r="A77" s="12" t="s">
        <v>183</v>
      </c>
      <c r="B77" s="12" t="s">
        <v>882</v>
      </c>
      <c r="C77" s="12" t="s">
        <v>366</v>
      </c>
      <c r="D77" s="12" t="s">
        <v>398</v>
      </c>
      <c r="E77" s="16">
        <v>3</v>
      </c>
      <c r="F77" s="16" t="s">
        <v>95</v>
      </c>
      <c r="G77" s="12"/>
      <c r="H77" s="16" t="s">
        <v>13</v>
      </c>
      <c r="I77" s="12"/>
    </row>
    <row r="78" spans="1:9" ht="39.950000000000003" customHeight="1" x14ac:dyDescent="0.25">
      <c r="A78" s="12" t="s">
        <v>184</v>
      </c>
      <c r="B78" s="12" t="s">
        <v>888</v>
      </c>
      <c r="C78" s="12" t="s">
        <v>367</v>
      </c>
      <c r="D78" s="12" t="s">
        <v>399</v>
      </c>
      <c r="E78" s="16">
        <v>3</v>
      </c>
      <c r="F78" s="16" t="s">
        <v>95</v>
      </c>
      <c r="G78" s="12"/>
      <c r="H78" s="16" t="s">
        <v>13</v>
      </c>
      <c r="I78" s="12"/>
    </row>
    <row r="79" spans="1:9" ht="39.950000000000003" customHeight="1" x14ac:dyDescent="0.25">
      <c r="A79" s="12" t="s">
        <v>185</v>
      </c>
      <c r="B79" s="12" t="s">
        <v>886</v>
      </c>
      <c r="C79" s="12" t="s">
        <v>368</v>
      </c>
      <c r="D79" s="12" t="s">
        <v>400</v>
      </c>
      <c r="E79" s="16">
        <v>3</v>
      </c>
      <c r="F79" s="16" t="s">
        <v>88</v>
      </c>
      <c r="G79" s="12"/>
      <c r="H79" s="16" t="s">
        <v>13</v>
      </c>
      <c r="I79" s="12"/>
    </row>
    <row r="80" spans="1:9" ht="39.950000000000003" customHeight="1" x14ac:dyDescent="0.25">
      <c r="A80" s="12" t="s">
        <v>186</v>
      </c>
      <c r="B80" s="12" t="s">
        <v>888</v>
      </c>
      <c r="C80" s="12" t="s">
        <v>369</v>
      </c>
      <c r="D80" s="12" t="s">
        <v>401</v>
      </c>
      <c r="E80" s="16">
        <v>2</v>
      </c>
      <c r="F80" s="16" t="s">
        <v>88</v>
      </c>
      <c r="G80" s="12"/>
      <c r="H80" s="16" t="s">
        <v>13</v>
      </c>
      <c r="I80" s="12"/>
    </row>
    <row r="81" spans="1:9" ht="39.950000000000003" customHeight="1" x14ac:dyDescent="0.25">
      <c r="A81" s="12" t="s">
        <v>187</v>
      </c>
      <c r="B81" s="12" t="s">
        <v>882</v>
      </c>
      <c r="C81" s="12" t="s">
        <v>314</v>
      </c>
      <c r="D81" s="12" t="s">
        <v>402</v>
      </c>
      <c r="E81" s="16">
        <v>1</v>
      </c>
      <c r="F81" s="16" t="s">
        <v>91</v>
      </c>
      <c r="G81" s="12"/>
      <c r="H81" s="16" t="s">
        <v>13</v>
      </c>
      <c r="I81" s="12"/>
    </row>
    <row r="82" spans="1:9" ht="39.950000000000003" customHeight="1" x14ac:dyDescent="0.25">
      <c r="A82" s="12" t="s">
        <v>188</v>
      </c>
      <c r="B82" s="12" t="s">
        <v>882</v>
      </c>
      <c r="C82" s="12" t="s">
        <v>315</v>
      </c>
      <c r="D82" s="12" t="s">
        <v>403</v>
      </c>
      <c r="E82" s="16">
        <v>1</v>
      </c>
      <c r="F82" s="16" t="s">
        <v>91</v>
      </c>
      <c r="G82" s="12"/>
      <c r="H82" s="16" t="s">
        <v>13</v>
      </c>
      <c r="I82" s="12"/>
    </row>
    <row r="83" spans="1:9" ht="39.950000000000003" customHeight="1" x14ac:dyDescent="0.25">
      <c r="A83" s="12" t="s">
        <v>189</v>
      </c>
      <c r="B83" s="12" t="s">
        <v>882</v>
      </c>
      <c r="C83" s="12" t="s">
        <v>370</v>
      </c>
      <c r="D83" s="12" t="s">
        <v>404</v>
      </c>
      <c r="E83" s="16">
        <v>2</v>
      </c>
      <c r="F83" s="16" t="s">
        <v>88</v>
      </c>
      <c r="G83" s="12"/>
      <c r="H83" s="16" t="s">
        <v>13</v>
      </c>
      <c r="I83" s="12"/>
    </row>
    <row r="84" spans="1:9" ht="39.950000000000003" customHeight="1" x14ac:dyDescent="0.25">
      <c r="A84" s="12" t="s">
        <v>190</v>
      </c>
      <c r="B84" s="12" t="s">
        <v>313</v>
      </c>
      <c r="C84" s="12" t="s">
        <v>317</v>
      </c>
      <c r="D84" s="12" t="s">
        <v>405</v>
      </c>
      <c r="E84" s="16">
        <v>3</v>
      </c>
      <c r="F84" s="16" t="s">
        <v>91</v>
      </c>
      <c r="G84" s="12"/>
      <c r="H84" s="16" t="s">
        <v>13</v>
      </c>
      <c r="I84" s="12"/>
    </row>
    <row r="85" spans="1:9" ht="39.950000000000003" customHeight="1" x14ac:dyDescent="0.25">
      <c r="A85" s="12" t="s">
        <v>191</v>
      </c>
      <c r="B85" s="12" t="s">
        <v>882</v>
      </c>
      <c r="C85" s="12" t="s">
        <v>324</v>
      </c>
      <c r="D85" s="12" t="s">
        <v>406</v>
      </c>
      <c r="E85" s="16">
        <v>1</v>
      </c>
      <c r="F85" s="16" t="s">
        <v>91</v>
      </c>
      <c r="G85" s="12"/>
      <c r="H85" s="16" t="s">
        <v>13</v>
      </c>
      <c r="I85" s="12"/>
    </row>
    <row r="86" spans="1:9" ht="39.950000000000003" customHeight="1" x14ac:dyDescent="0.25">
      <c r="A86" s="12" t="s">
        <v>192</v>
      </c>
      <c r="B86" s="12" t="s">
        <v>882</v>
      </c>
      <c r="C86" s="12" t="s">
        <v>325</v>
      </c>
      <c r="D86" s="12" t="s">
        <v>407</v>
      </c>
      <c r="E86" s="16">
        <v>1</v>
      </c>
      <c r="F86" s="16" t="s">
        <v>91</v>
      </c>
      <c r="G86" s="12"/>
      <c r="H86" s="16" t="s">
        <v>13</v>
      </c>
      <c r="I86" s="12"/>
    </row>
    <row r="87" spans="1:9" ht="39.950000000000003" customHeight="1" x14ac:dyDescent="0.25">
      <c r="A87" s="12" t="s">
        <v>193</v>
      </c>
      <c r="B87" s="12" t="s">
        <v>882</v>
      </c>
      <c r="C87" s="12" t="s">
        <v>326</v>
      </c>
      <c r="D87" s="12" t="s">
        <v>408</v>
      </c>
      <c r="E87" s="16">
        <v>1</v>
      </c>
      <c r="F87" s="16" t="s">
        <v>91</v>
      </c>
      <c r="G87" s="12"/>
      <c r="H87" s="16" t="s">
        <v>13</v>
      </c>
      <c r="I87" s="12"/>
    </row>
    <row r="88" spans="1:9" ht="39.950000000000003" customHeight="1" x14ac:dyDescent="0.25">
      <c r="A88" s="12" t="s">
        <v>194</v>
      </c>
      <c r="B88" s="12" t="s">
        <v>882</v>
      </c>
      <c r="C88" s="12" t="s">
        <v>348</v>
      </c>
      <c r="D88" s="12" t="s">
        <v>409</v>
      </c>
      <c r="E88" s="16">
        <v>2</v>
      </c>
      <c r="F88" s="16" t="s">
        <v>88</v>
      </c>
      <c r="G88" s="12"/>
      <c r="H88" s="16" t="s">
        <v>13</v>
      </c>
      <c r="I88" s="12"/>
    </row>
    <row r="89" spans="1:9" ht="39.950000000000003" customHeight="1" x14ac:dyDescent="0.25">
      <c r="A89" s="12" t="s">
        <v>195</v>
      </c>
      <c r="B89" s="12" t="s">
        <v>313</v>
      </c>
      <c r="C89" s="12" t="s">
        <v>349</v>
      </c>
      <c r="D89" s="12" t="s">
        <v>410</v>
      </c>
      <c r="E89" s="16">
        <v>3</v>
      </c>
      <c r="F89" s="16" t="s">
        <v>91</v>
      </c>
      <c r="G89" s="12"/>
      <c r="H89" s="16" t="s">
        <v>13</v>
      </c>
      <c r="I89" s="12"/>
    </row>
    <row r="90" spans="1:9" ht="39.950000000000003" customHeight="1" x14ac:dyDescent="0.25">
      <c r="A90" s="12" t="s">
        <v>196</v>
      </c>
      <c r="B90" s="12" t="s">
        <v>313</v>
      </c>
      <c r="C90" s="12" t="s">
        <v>350</v>
      </c>
      <c r="D90" s="12" t="s">
        <v>411</v>
      </c>
      <c r="E90" s="16">
        <v>3</v>
      </c>
      <c r="F90" s="16" t="s">
        <v>91</v>
      </c>
      <c r="G90" s="12"/>
      <c r="H90" s="16" t="s">
        <v>13</v>
      </c>
      <c r="I90" s="12"/>
    </row>
    <row r="91" spans="1:9" ht="39.950000000000003" customHeight="1" x14ac:dyDescent="0.25">
      <c r="A91" s="12" t="s">
        <v>197</v>
      </c>
      <c r="B91" s="12" t="s">
        <v>882</v>
      </c>
      <c r="C91" s="12" t="s">
        <v>351</v>
      </c>
      <c r="D91" s="12" t="s">
        <v>412</v>
      </c>
      <c r="E91" s="16">
        <v>2</v>
      </c>
      <c r="F91" s="16" t="s">
        <v>88</v>
      </c>
      <c r="G91" s="12"/>
      <c r="H91" s="16" t="s">
        <v>13</v>
      </c>
      <c r="I91" s="12"/>
    </row>
    <row r="92" spans="1:9" ht="39.950000000000003" customHeight="1" x14ac:dyDescent="0.25">
      <c r="A92" s="12" t="s">
        <v>198</v>
      </c>
      <c r="B92" s="12" t="s">
        <v>882</v>
      </c>
      <c r="C92" s="12" t="s">
        <v>371</v>
      </c>
      <c r="D92" s="12" t="s">
        <v>413</v>
      </c>
      <c r="E92" s="16">
        <v>2</v>
      </c>
      <c r="F92" s="16" t="s">
        <v>88</v>
      </c>
      <c r="G92" s="12"/>
      <c r="H92" s="16" t="s">
        <v>13</v>
      </c>
      <c r="I92" s="12"/>
    </row>
    <row r="93" spans="1:9" ht="39.950000000000003" customHeight="1" x14ac:dyDescent="0.25">
      <c r="A93" s="12" t="s">
        <v>199</v>
      </c>
      <c r="B93" s="12" t="s">
        <v>888</v>
      </c>
      <c r="C93" s="12" t="s">
        <v>372</v>
      </c>
      <c r="D93" s="12" t="s">
        <v>414</v>
      </c>
      <c r="E93" s="16">
        <v>2</v>
      </c>
      <c r="F93" s="16" t="s">
        <v>88</v>
      </c>
      <c r="G93" s="12"/>
      <c r="H93" s="16" t="s">
        <v>13</v>
      </c>
      <c r="I93" s="12"/>
    </row>
    <row r="94" spans="1:9" ht="39.950000000000003" customHeight="1" x14ac:dyDescent="0.25">
      <c r="A94" s="12" t="s">
        <v>200</v>
      </c>
      <c r="B94" s="12" t="s">
        <v>888</v>
      </c>
      <c r="C94" s="12" t="s">
        <v>320</v>
      </c>
      <c r="D94" s="12" t="s">
        <v>415</v>
      </c>
      <c r="E94" s="16">
        <v>1</v>
      </c>
      <c r="F94" s="16" t="s">
        <v>91</v>
      </c>
      <c r="G94" s="12"/>
      <c r="H94" s="16" t="s">
        <v>13</v>
      </c>
      <c r="I94" s="12"/>
    </row>
    <row r="95" spans="1:9" ht="39.950000000000003" customHeight="1" x14ac:dyDescent="0.25">
      <c r="A95" s="12" t="s">
        <v>201</v>
      </c>
      <c r="B95" s="12" t="s">
        <v>888</v>
      </c>
      <c r="C95" s="12" t="s">
        <v>373</v>
      </c>
      <c r="D95" s="12" t="s">
        <v>416</v>
      </c>
      <c r="E95" s="16">
        <v>3</v>
      </c>
      <c r="F95" s="16" t="s">
        <v>95</v>
      </c>
      <c r="G95" s="12"/>
      <c r="H95" s="16" t="s">
        <v>13</v>
      </c>
      <c r="I95" s="12"/>
    </row>
    <row r="96" spans="1:9" ht="39.950000000000003" customHeight="1" x14ac:dyDescent="0.25">
      <c r="A96" s="12" t="s">
        <v>202</v>
      </c>
      <c r="B96" s="12" t="s">
        <v>313</v>
      </c>
      <c r="C96" s="12" t="s">
        <v>377</v>
      </c>
      <c r="D96" s="12" t="s">
        <v>378</v>
      </c>
      <c r="E96" s="16">
        <v>2</v>
      </c>
      <c r="F96" s="16" t="s">
        <v>88</v>
      </c>
      <c r="G96" s="12"/>
      <c r="H96" s="16" t="s">
        <v>13</v>
      </c>
      <c r="I96" s="12"/>
    </row>
    <row r="97" spans="1:9" ht="39.950000000000003" customHeight="1" x14ac:dyDescent="0.25">
      <c r="A97" s="12" t="s">
        <v>203</v>
      </c>
      <c r="B97" s="12" t="s">
        <v>313</v>
      </c>
      <c r="C97" s="12" t="s">
        <v>354</v>
      </c>
      <c r="D97" s="12" t="s">
        <v>417</v>
      </c>
      <c r="E97" s="16">
        <v>2</v>
      </c>
      <c r="F97" s="16" t="s">
        <v>88</v>
      </c>
      <c r="G97" s="12"/>
      <c r="H97" s="16" t="s">
        <v>13</v>
      </c>
      <c r="I97" s="12"/>
    </row>
    <row r="98" spans="1:9" ht="39.950000000000003" customHeight="1" x14ac:dyDescent="0.25">
      <c r="A98" s="12" t="s">
        <v>204</v>
      </c>
      <c r="B98" s="12" t="s">
        <v>313</v>
      </c>
      <c r="C98" s="12" t="s">
        <v>355</v>
      </c>
      <c r="D98" s="12" t="s">
        <v>418</v>
      </c>
      <c r="E98" s="16">
        <v>1</v>
      </c>
      <c r="F98" s="16" t="s">
        <v>91</v>
      </c>
      <c r="G98" s="12"/>
      <c r="H98" s="16" t="s">
        <v>13</v>
      </c>
      <c r="I98" s="12"/>
    </row>
    <row r="99" spans="1:9" ht="39.950000000000003" customHeight="1" x14ac:dyDescent="0.25">
      <c r="A99" s="12" t="s">
        <v>205</v>
      </c>
      <c r="B99" s="12" t="s">
        <v>882</v>
      </c>
      <c r="C99" s="12" t="s">
        <v>881</v>
      </c>
      <c r="D99" s="12" t="s">
        <v>419</v>
      </c>
      <c r="E99" s="16">
        <v>3</v>
      </c>
      <c r="F99" s="16" t="s">
        <v>91</v>
      </c>
      <c r="G99" s="12" t="s">
        <v>841</v>
      </c>
      <c r="H99" s="16" t="s">
        <v>13</v>
      </c>
      <c r="I99" s="12"/>
    </row>
    <row r="100" spans="1:9" ht="39.950000000000003" customHeight="1" x14ac:dyDescent="0.25">
      <c r="A100" s="12" t="s">
        <v>206</v>
      </c>
      <c r="B100" s="12" t="s">
        <v>882</v>
      </c>
      <c r="C100" s="12" t="s">
        <v>374</v>
      </c>
      <c r="D100" s="12" t="s">
        <v>420</v>
      </c>
      <c r="E100" s="16">
        <v>1</v>
      </c>
      <c r="F100" s="16" t="s">
        <v>91</v>
      </c>
      <c r="G100" s="12" t="s">
        <v>842</v>
      </c>
      <c r="H100" s="16" t="s">
        <v>13</v>
      </c>
      <c r="I100" s="12"/>
    </row>
    <row r="101" spans="1:9" ht="39.950000000000003" customHeight="1" x14ac:dyDescent="0.25">
      <c r="A101" s="12" t="s">
        <v>207</v>
      </c>
      <c r="B101" s="12" t="s">
        <v>888</v>
      </c>
      <c r="C101" s="12" t="s">
        <v>424</v>
      </c>
      <c r="D101" s="12" t="s">
        <v>425</v>
      </c>
      <c r="E101" s="16">
        <v>3</v>
      </c>
      <c r="F101" s="16" t="s">
        <v>95</v>
      </c>
      <c r="G101" s="12"/>
      <c r="H101" s="16" t="s">
        <v>13</v>
      </c>
      <c r="I101" s="12"/>
    </row>
    <row r="102" spans="1:9" ht="39.950000000000003" customHeight="1" x14ac:dyDescent="0.25">
      <c r="A102" s="12" t="s">
        <v>208</v>
      </c>
      <c r="B102" s="12" t="s">
        <v>888</v>
      </c>
      <c r="C102" s="12" t="s">
        <v>375</v>
      </c>
      <c r="D102" s="12" t="s">
        <v>421</v>
      </c>
      <c r="E102" s="16">
        <v>2</v>
      </c>
      <c r="F102" s="16" t="s">
        <v>88</v>
      </c>
      <c r="G102" s="12"/>
      <c r="H102" s="16" t="s">
        <v>13</v>
      </c>
      <c r="I102" s="12"/>
    </row>
    <row r="103" spans="1:9" ht="39.950000000000003" customHeight="1" x14ac:dyDescent="0.25">
      <c r="A103" s="12" t="s">
        <v>209</v>
      </c>
      <c r="B103" s="12" t="s">
        <v>313</v>
      </c>
      <c r="C103" s="12" t="s">
        <v>376</v>
      </c>
      <c r="D103" s="12" t="s">
        <v>422</v>
      </c>
      <c r="E103" s="16">
        <v>1</v>
      </c>
      <c r="F103" s="16" t="s">
        <v>88</v>
      </c>
      <c r="G103" s="12"/>
      <c r="H103" s="16" t="s">
        <v>13</v>
      </c>
      <c r="I103" s="12"/>
    </row>
    <row r="104" spans="1:9" ht="39.950000000000003" customHeight="1" x14ac:dyDescent="0.25">
      <c r="A104" s="12" t="s">
        <v>210</v>
      </c>
      <c r="B104" s="12" t="s">
        <v>886</v>
      </c>
      <c r="C104" s="12" t="s">
        <v>426</v>
      </c>
      <c r="D104" s="12" t="s">
        <v>427</v>
      </c>
      <c r="E104" s="16">
        <v>1</v>
      </c>
      <c r="F104" s="16" t="s">
        <v>88</v>
      </c>
      <c r="G104" s="12"/>
      <c r="H104" s="16" t="s">
        <v>13</v>
      </c>
      <c r="I104" s="12"/>
    </row>
    <row r="105" spans="1:9" ht="39.950000000000003" customHeight="1" x14ac:dyDescent="0.25">
      <c r="A105" s="12" t="s">
        <v>211</v>
      </c>
      <c r="B105" s="12" t="s">
        <v>313</v>
      </c>
      <c r="C105" s="12" t="s">
        <v>327</v>
      </c>
      <c r="D105" s="12" t="s">
        <v>423</v>
      </c>
      <c r="E105" s="16">
        <v>3</v>
      </c>
      <c r="F105" s="16" t="s">
        <v>91</v>
      </c>
      <c r="G105" s="12"/>
      <c r="H105" s="16" t="s">
        <v>13</v>
      </c>
      <c r="I105" s="12"/>
    </row>
    <row r="106" spans="1:9" ht="15.75" customHeight="1" x14ac:dyDescent="0.25">
      <c r="C106" s="3"/>
      <c r="D106" s="3"/>
    </row>
    <row r="107" spans="1:9" ht="15.75" customHeight="1" x14ac:dyDescent="0.25">
      <c r="C107" s="3"/>
      <c r="D107" s="3"/>
    </row>
    <row r="108" spans="1:9" ht="15.75" customHeight="1" x14ac:dyDescent="0.25">
      <c r="C108" s="3"/>
      <c r="D108" s="3"/>
    </row>
    <row r="109" spans="1:9" ht="15.75" customHeight="1" x14ac:dyDescent="0.25">
      <c r="C109" s="3"/>
      <c r="D109" s="3"/>
    </row>
    <row r="110" spans="1:9" ht="15.75" customHeight="1" x14ac:dyDescent="0.25">
      <c r="C110" s="3"/>
      <c r="D110" s="3"/>
    </row>
    <row r="111" spans="1:9" ht="15.75" customHeight="1" x14ac:dyDescent="0.25">
      <c r="C111" s="3"/>
      <c r="D111" s="3"/>
    </row>
    <row r="112" spans="1:9" ht="15.75" customHeight="1" x14ac:dyDescent="0.25">
      <c r="C112" s="3"/>
      <c r="D112" s="3"/>
    </row>
    <row r="113" spans="3:4" ht="15.75" customHeight="1" x14ac:dyDescent="0.25">
      <c r="C113" s="3"/>
      <c r="D113" s="3"/>
    </row>
    <row r="114" spans="3:4" ht="15.75" customHeight="1" x14ac:dyDescent="0.25">
      <c r="C114" s="3"/>
      <c r="D114" s="3"/>
    </row>
    <row r="115" spans="3:4" ht="15.75" customHeight="1" x14ac:dyDescent="0.25">
      <c r="C115" s="3"/>
      <c r="D115" s="3"/>
    </row>
    <row r="116" spans="3:4" ht="15.75" customHeight="1" x14ac:dyDescent="0.25">
      <c r="C116" s="3"/>
      <c r="D116" s="3"/>
    </row>
    <row r="117" spans="3:4" ht="15.75" customHeight="1" x14ac:dyDescent="0.25">
      <c r="C117" s="3"/>
      <c r="D117" s="3"/>
    </row>
    <row r="118" spans="3:4" ht="15.75" customHeight="1" x14ac:dyDescent="0.25">
      <c r="C118" s="3"/>
      <c r="D118" s="3"/>
    </row>
    <row r="119" spans="3:4" ht="15.75" customHeight="1" x14ac:dyDescent="0.25">
      <c r="C119" s="3"/>
      <c r="D119" s="3"/>
    </row>
    <row r="120" spans="3:4" ht="15.75" customHeight="1" x14ac:dyDescent="0.25">
      <c r="C120" s="3"/>
      <c r="D120" s="3"/>
    </row>
    <row r="121" spans="3:4" ht="15.75" customHeight="1" x14ac:dyDescent="0.25">
      <c r="C121" s="3"/>
      <c r="D121" s="3"/>
    </row>
    <row r="122" spans="3:4" ht="15.75" customHeight="1" x14ac:dyDescent="0.25">
      <c r="C122" s="3"/>
      <c r="D122" s="3"/>
    </row>
    <row r="123" spans="3:4" ht="15.75" customHeight="1" x14ac:dyDescent="0.25">
      <c r="C123" s="3"/>
      <c r="D123" s="3"/>
    </row>
    <row r="124" spans="3:4" ht="15.75" customHeight="1" x14ac:dyDescent="0.25">
      <c r="C124" s="3"/>
      <c r="D124" s="3"/>
    </row>
    <row r="125" spans="3:4" ht="15.75" customHeight="1" x14ac:dyDescent="0.25">
      <c r="C125" s="3"/>
      <c r="D125" s="3"/>
    </row>
    <row r="126" spans="3:4" ht="15.75" customHeight="1" x14ac:dyDescent="0.25">
      <c r="C126" s="3"/>
      <c r="D126" s="3"/>
    </row>
    <row r="127" spans="3:4" ht="15.75" customHeight="1" x14ac:dyDescent="0.25">
      <c r="C127" s="3"/>
      <c r="D127" s="3"/>
    </row>
    <row r="128" spans="3:4" ht="15.75" customHeight="1" x14ac:dyDescent="0.25">
      <c r="C128" s="3"/>
      <c r="D128" s="3"/>
    </row>
    <row r="129" spans="3:4" ht="15.75" customHeight="1" x14ac:dyDescent="0.25">
      <c r="C129" s="3"/>
      <c r="D129" s="3"/>
    </row>
    <row r="130" spans="3:4" ht="15.75" customHeight="1" x14ac:dyDescent="0.25">
      <c r="C130" s="3"/>
      <c r="D130" s="3"/>
    </row>
    <row r="131" spans="3:4" ht="15.75" customHeight="1" x14ac:dyDescent="0.25">
      <c r="C131" s="3"/>
      <c r="D131" s="3"/>
    </row>
    <row r="132" spans="3:4" ht="15.75" customHeight="1" x14ac:dyDescent="0.25">
      <c r="C132" s="3"/>
      <c r="D132" s="3"/>
    </row>
    <row r="133" spans="3:4" ht="15.75" customHeight="1" x14ac:dyDescent="0.25">
      <c r="C133" s="3"/>
      <c r="D133" s="3"/>
    </row>
    <row r="134" spans="3:4" ht="15.75" customHeight="1" x14ac:dyDescent="0.25">
      <c r="C134" s="3"/>
      <c r="D134" s="3"/>
    </row>
    <row r="135" spans="3:4" ht="15.75" customHeight="1" x14ac:dyDescent="0.25">
      <c r="C135" s="3"/>
      <c r="D135" s="3"/>
    </row>
    <row r="136" spans="3:4" ht="15.75" customHeight="1" x14ac:dyDescent="0.25">
      <c r="C136" s="3"/>
      <c r="D136" s="3"/>
    </row>
    <row r="137" spans="3:4" ht="15.75" customHeight="1" x14ac:dyDescent="0.25">
      <c r="C137" s="3"/>
      <c r="D137" s="3"/>
    </row>
    <row r="138" spans="3:4" ht="15.75" customHeight="1" x14ac:dyDescent="0.25">
      <c r="C138" s="3"/>
      <c r="D138" s="3"/>
    </row>
    <row r="139" spans="3:4" ht="15.75" customHeight="1" x14ac:dyDescent="0.25">
      <c r="C139" s="3"/>
      <c r="D139" s="3"/>
    </row>
    <row r="140" spans="3:4" ht="15.75" customHeight="1" x14ac:dyDescent="0.25">
      <c r="C140" s="3"/>
      <c r="D140" s="3"/>
    </row>
    <row r="141" spans="3:4" ht="15.75" customHeight="1" x14ac:dyDescent="0.25">
      <c r="C141" s="3"/>
      <c r="D141" s="3"/>
    </row>
    <row r="142" spans="3:4" ht="15.75" customHeight="1" x14ac:dyDescent="0.25">
      <c r="C142" s="3"/>
      <c r="D142" s="3"/>
    </row>
    <row r="143" spans="3:4" ht="15.75" customHeight="1" x14ac:dyDescent="0.25">
      <c r="C143" s="3"/>
      <c r="D143" s="3"/>
    </row>
    <row r="144" spans="3:4" ht="15.75" customHeight="1" x14ac:dyDescent="0.25">
      <c r="C144" s="3"/>
      <c r="D144" s="3"/>
    </row>
    <row r="145" spans="3:4" ht="15.75" customHeight="1" x14ac:dyDescent="0.25">
      <c r="C145" s="3"/>
      <c r="D145" s="3"/>
    </row>
    <row r="146" spans="3:4" ht="15.75" customHeight="1" x14ac:dyDescent="0.25">
      <c r="C146" s="3"/>
      <c r="D146" s="3"/>
    </row>
    <row r="147" spans="3:4" ht="15.75" customHeight="1" x14ac:dyDescent="0.25">
      <c r="C147" s="3"/>
      <c r="D147" s="3"/>
    </row>
    <row r="148" spans="3:4" ht="15.75" customHeight="1" x14ac:dyDescent="0.25">
      <c r="C148" s="3"/>
      <c r="D148" s="3"/>
    </row>
    <row r="149" spans="3:4" ht="15.75" customHeight="1" x14ac:dyDescent="0.25">
      <c r="C149" s="3"/>
      <c r="D149" s="3"/>
    </row>
    <row r="150" spans="3:4" ht="15.75" customHeight="1" x14ac:dyDescent="0.25">
      <c r="C150" s="3"/>
      <c r="D150" s="3"/>
    </row>
    <row r="151" spans="3:4" ht="15.75" customHeight="1" x14ac:dyDescent="0.25">
      <c r="C151" s="3"/>
      <c r="D151" s="3"/>
    </row>
    <row r="152" spans="3:4" ht="15.75" customHeight="1" x14ac:dyDescent="0.25">
      <c r="C152" s="3"/>
      <c r="D152" s="3"/>
    </row>
    <row r="153" spans="3:4" ht="15.75" customHeight="1" x14ac:dyDescent="0.25">
      <c r="C153" s="3"/>
      <c r="D153" s="3"/>
    </row>
    <row r="154" spans="3:4" ht="15.75" customHeight="1" x14ac:dyDescent="0.25">
      <c r="C154" s="3"/>
      <c r="D154" s="3"/>
    </row>
    <row r="155" spans="3:4" ht="15.75" customHeight="1" x14ac:dyDescent="0.25">
      <c r="C155" s="3"/>
      <c r="D155" s="3"/>
    </row>
    <row r="156" spans="3:4" ht="15.75" customHeight="1" x14ac:dyDescent="0.25">
      <c r="C156" s="3"/>
      <c r="D156" s="3"/>
    </row>
    <row r="157" spans="3:4" ht="15.75" customHeight="1" x14ac:dyDescent="0.25">
      <c r="C157" s="3"/>
      <c r="D157" s="3"/>
    </row>
    <row r="158" spans="3:4" ht="15.75" customHeight="1" x14ac:dyDescent="0.25">
      <c r="C158" s="3"/>
      <c r="D158" s="3"/>
    </row>
    <row r="159" spans="3:4" ht="15.75" customHeight="1" x14ac:dyDescent="0.25">
      <c r="C159" s="3"/>
      <c r="D159" s="3"/>
    </row>
    <row r="160" spans="3:4" ht="15.75" customHeight="1" x14ac:dyDescent="0.25">
      <c r="C160" s="3"/>
      <c r="D160" s="3"/>
    </row>
    <row r="161" spans="3:4" ht="15.75" customHeight="1" x14ac:dyDescent="0.25">
      <c r="C161" s="3"/>
      <c r="D161" s="3"/>
    </row>
    <row r="162" spans="3:4" ht="15.75" customHeight="1" x14ac:dyDescent="0.25">
      <c r="C162" s="3"/>
      <c r="D162" s="3"/>
    </row>
    <row r="163" spans="3:4" ht="15.75" customHeight="1" x14ac:dyDescent="0.25">
      <c r="C163" s="3"/>
      <c r="D163" s="3"/>
    </row>
    <row r="164" spans="3:4" ht="15.75" customHeight="1" x14ac:dyDescent="0.25">
      <c r="C164" s="3"/>
      <c r="D164" s="3"/>
    </row>
    <row r="165" spans="3:4" ht="15.75" customHeight="1" x14ac:dyDescent="0.25">
      <c r="C165" s="3"/>
      <c r="D165" s="3"/>
    </row>
    <row r="166" spans="3:4" ht="15.75" customHeight="1" x14ac:dyDescent="0.25">
      <c r="C166" s="3"/>
      <c r="D166" s="3"/>
    </row>
    <row r="167" spans="3:4" ht="15.75" customHeight="1" x14ac:dyDescent="0.25">
      <c r="C167" s="3"/>
      <c r="D167" s="3"/>
    </row>
    <row r="168" spans="3:4" ht="15.75" customHeight="1" x14ac:dyDescent="0.25">
      <c r="C168" s="3"/>
      <c r="D168" s="3"/>
    </row>
    <row r="169" spans="3:4" ht="15.75" customHeight="1" x14ac:dyDescent="0.25">
      <c r="C169" s="3"/>
      <c r="D169" s="3"/>
    </row>
    <row r="170" spans="3:4" ht="15.75" customHeight="1" x14ac:dyDescent="0.25">
      <c r="C170" s="3"/>
      <c r="D170" s="3"/>
    </row>
    <row r="171" spans="3:4" ht="15.75" customHeight="1" x14ac:dyDescent="0.25">
      <c r="C171" s="3"/>
      <c r="D171" s="3"/>
    </row>
    <row r="172" spans="3:4" ht="15.75" customHeight="1" x14ac:dyDescent="0.25">
      <c r="C172" s="3"/>
      <c r="D172" s="3"/>
    </row>
    <row r="173" spans="3:4" ht="15.75" customHeight="1" x14ac:dyDescent="0.25">
      <c r="C173" s="3"/>
      <c r="D173" s="3"/>
    </row>
    <row r="174" spans="3:4" ht="15.75" customHeight="1" x14ac:dyDescent="0.25">
      <c r="C174" s="3"/>
      <c r="D174" s="3"/>
    </row>
    <row r="175" spans="3:4" ht="15.75" customHeight="1" x14ac:dyDescent="0.25">
      <c r="C175" s="3"/>
      <c r="D175" s="3"/>
    </row>
    <row r="176" spans="3:4" ht="15.75" customHeight="1" x14ac:dyDescent="0.25">
      <c r="C176" s="3"/>
      <c r="D176" s="3"/>
    </row>
    <row r="177" spans="3:4" ht="15.75" customHeight="1" x14ac:dyDescent="0.25">
      <c r="C177" s="3"/>
      <c r="D177" s="3"/>
    </row>
    <row r="178" spans="3:4" ht="15.75" customHeight="1" x14ac:dyDescent="0.25">
      <c r="C178" s="3"/>
      <c r="D178" s="3"/>
    </row>
    <row r="179" spans="3:4" ht="15.75" customHeight="1" x14ac:dyDescent="0.25">
      <c r="C179" s="3"/>
      <c r="D179" s="3"/>
    </row>
    <row r="180" spans="3:4" ht="15.75" customHeight="1" x14ac:dyDescent="0.25">
      <c r="C180" s="3"/>
      <c r="D180" s="3"/>
    </row>
    <row r="181" spans="3:4" ht="15.75" customHeight="1" x14ac:dyDescent="0.25">
      <c r="C181" s="3"/>
      <c r="D181" s="3"/>
    </row>
    <row r="182" spans="3:4" ht="15.75" customHeight="1" x14ac:dyDescent="0.25">
      <c r="C182" s="3"/>
      <c r="D182" s="3"/>
    </row>
    <row r="183" spans="3:4" ht="15.75" customHeight="1" x14ac:dyDescent="0.25">
      <c r="C183" s="3"/>
      <c r="D183" s="3"/>
    </row>
    <row r="184" spans="3:4" ht="15.75" customHeight="1" x14ac:dyDescent="0.25">
      <c r="C184" s="3"/>
      <c r="D184" s="3"/>
    </row>
    <row r="185" spans="3:4" ht="15.75" customHeight="1" x14ac:dyDescent="0.25">
      <c r="C185" s="3"/>
      <c r="D185" s="3"/>
    </row>
    <row r="186" spans="3:4" ht="15.75" customHeight="1" x14ac:dyDescent="0.25">
      <c r="C186" s="3"/>
      <c r="D186" s="3"/>
    </row>
    <row r="187" spans="3:4" ht="15.75" customHeight="1" x14ac:dyDescent="0.25">
      <c r="C187" s="3"/>
      <c r="D187" s="3"/>
    </row>
    <row r="188" spans="3:4" ht="15.75" customHeight="1" x14ac:dyDescent="0.25">
      <c r="C188" s="3"/>
      <c r="D188" s="3"/>
    </row>
    <row r="189" spans="3:4" ht="15.75" customHeight="1" x14ac:dyDescent="0.25">
      <c r="C189" s="3"/>
      <c r="D189" s="3"/>
    </row>
    <row r="190" spans="3:4" ht="15.75" customHeight="1" x14ac:dyDescent="0.25">
      <c r="C190" s="3"/>
      <c r="D190" s="3"/>
    </row>
    <row r="191" spans="3:4" ht="15.75" customHeight="1" x14ac:dyDescent="0.25">
      <c r="C191" s="3"/>
      <c r="D191" s="3"/>
    </row>
    <row r="192" spans="3:4" ht="15.75" customHeight="1" x14ac:dyDescent="0.25">
      <c r="C192" s="3"/>
      <c r="D192" s="3"/>
    </row>
    <row r="193" spans="3:4" ht="15.75" customHeight="1" x14ac:dyDescent="0.25">
      <c r="C193" s="3"/>
      <c r="D193" s="3"/>
    </row>
    <row r="194" spans="3:4" ht="15.75" customHeight="1" x14ac:dyDescent="0.25">
      <c r="C194" s="3"/>
      <c r="D194" s="3"/>
    </row>
    <row r="195" spans="3:4" ht="15.75" customHeight="1" x14ac:dyDescent="0.25">
      <c r="C195" s="3"/>
      <c r="D195" s="3"/>
    </row>
    <row r="196" spans="3:4" ht="15.75" customHeight="1" x14ac:dyDescent="0.25">
      <c r="C196" s="3"/>
      <c r="D196" s="3"/>
    </row>
    <row r="197" spans="3:4" ht="15.75" customHeight="1" x14ac:dyDescent="0.25">
      <c r="C197" s="3"/>
      <c r="D197" s="3"/>
    </row>
    <row r="198" spans="3:4" ht="15.75" customHeight="1" x14ac:dyDescent="0.25">
      <c r="C198" s="3"/>
      <c r="D198" s="3"/>
    </row>
    <row r="199" spans="3:4" ht="15.75" customHeight="1" x14ac:dyDescent="0.25">
      <c r="C199" s="3"/>
      <c r="D199" s="3"/>
    </row>
    <row r="200" spans="3:4" ht="15.75" customHeight="1" x14ac:dyDescent="0.25">
      <c r="C200" s="3"/>
      <c r="D200" s="3"/>
    </row>
    <row r="201" spans="3:4" ht="15.75" customHeight="1" x14ac:dyDescent="0.25">
      <c r="C201" s="3"/>
      <c r="D201" s="3"/>
    </row>
    <row r="202" spans="3:4" ht="15.75" customHeight="1" x14ac:dyDescent="0.25">
      <c r="C202" s="3"/>
      <c r="D202" s="3"/>
    </row>
    <row r="203" spans="3:4" ht="15.75" customHeight="1" x14ac:dyDescent="0.25">
      <c r="C203" s="3"/>
      <c r="D203" s="3"/>
    </row>
    <row r="204" spans="3:4" ht="15.75" customHeight="1" x14ac:dyDescent="0.25">
      <c r="C204" s="3"/>
      <c r="D204" s="3"/>
    </row>
    <row r="205" spans="3:4" ht="15.75" customHeight="1" x14ac:dyDescent="0.25">
      <c r="C205" s="3"/>
      <c r="D205" s="3"/>
    </row>
    <row r="206" spans="3:4" ht="15.75" customHeight="1" x14ac:dyDescent="0.25">
      <c r="C206" s="3"/>
      <c r="D206" s="3"/>
    </row>
    <row r="207" spans="3:4" ht="15.75" customHeight="1" x14ac:dyDescent="0.25">
      <c r="C207" s="3"/>
      <c r="D207" s="3"/>
    </row>
    <row r="208" spans="3:4" ht="15.75" customHeight="1" x14ac:dyDescent="0.25">
      <c r="C208" s="3"/>
      <c r="D208" s="3"/>
    </row>
    <row r="209" spans="3:4" ht="15.75" customHeight="1" x14ac:dyDescent="0.25">
      <c r="C209" s="3"/>
      <c r="D209" s="3"/>
    </row>
    <row r="210" spans="3:4" ht="15.75" customHeight="1" x14ac:dyDescent="0.25">
      <c r="C210" s="3"/>
      <c r="D210" s="3"/>
    </row>
    <row r="211" spans="3:4" ht="15.75" customHeight="1" x14ac:dyDescent="0.25">
      <c r="C211" s="3"/>
      <c r="D211" s="3"/>
    </row>
    <row r="212" spans="3:4" ht="15.75" customHeight="1" x14ac:dyDescent="0.25">
      <c r="C212" s="3"/>
      <c r="D212" s="3"/>
    </row>
    <row r="213" spans="3:4" ht="15.75" customHeight="1" x14ac:dyDescent="0.25">
      <c r="C213" s="3"/>
      <c r="D213" s="3"/>
    </row>
    <row r="214" spans="3:4" ht="15.75" customHeight="1" x14ac:dyDescent="0.25">
      <c r="C214" s="3"/>
      <c r="D214" s="3"/>
    </row>
    <row r="215" spans="3:4" ht="15.75" customHeight="1" x14ac:dyDescent="0.25">
      <c r="C215" s="3"/>
      <c r="D215" s="3"/>
    </row>
    <row r="216" spans="3:4" ht="15.75" customHeight="1" x14ac:dyDescent="0.25">
      <c r="C216" s="3"/>
      <c r="D216" s="3"/>
    </row>
    <row r="217" spans="3:4" ht="15.75" customHeight="1" x14ac:dyDescent="0.25">
      <c r="C217" s="3"/>
      <c r="D217" s="3"/>
    </row>
    <row r="218" spans="3:4" ht="15.75" customHeight="1" x14ac:dyDescent="0.25">
      <c r="C218" s="3"/>
      <c r="D218" s="3"/>
    </row>
    <row r="219" spans="3:4" ht="15.75" customHeight="1" x14ac:dyDescent="0.25">
      <c r="C219" s="3"/>
      <c r="D219" s="3"/>
    </row>
    <row r="220" spans="3:4" ht="15.75" customHeight="1" x14ac:dyDescent="0.25">
      <c r="C220" s="3"/>
      <c r="D220" s="3"/>
    </row>
    <row r="221" spans="3:4" ht="15.75" customHeight="1" x14ac:dyDescent="0.25">
      <c r="C221" s="3"/>
      <c r="D221" s="3"/>
    </row>
    <row r="222" spans="3:4" ht="15.75" customHeight="1" x14ac:dyDescent="0.25">
      <c r="C222" s="3"/>
      <c r="D222" s="3"/>
    </row>
    <row r="223" spans="3:4" ht="15.75" customHeight="1" x14ac:dyDescent="0.25">
      <c r="C223" s="3"/>
      <c r="D223" s="3"/>
    </row>
    <row r="224" spans="3:4" ht="15.75" customHeight="1" x14ac:dyDescent="0.25">
      <c r="C224" s="3"/>
      <c r="D224" s="3"/>
    </row>
    <row r="225" spans="3:4" ht="15.75" customHeight="1" x14ac:dyDescent="0.25">
      <c r="C225" s="3"/>
      <c r="D225" s="3"/>
    </row>
    <row r="226" spans="3:4" ht="15.75" customHeight="1" x14ac:dyDescent="0.25">
      <c r="C226" s="3"/>
      <c r="D226" s="3"/>
    </row>
    <row r="227" spans="3:4" ht="15.75" customHeight="1" x14ac:dyDescent="0.25">
      <c r="C227" s="3"/>
      <c r="D227" s="3"/>
    </row>
    <row r="228" spans="3:4" ht="15.75" customHeight="1" x14ac:dyDescent="0.25">
      <c r="C228" s="3"/>
      <c r="D228" s="3"/>
    </row>
    <row r="229" spans="3:4" ht="15.75" customHeight="1" x14ac:dyDescent="0.25">
      <c r="C229" s="3"/>
      <c r="D229" s="3"/>
    </row>
    <row r="230" spans="3:4" ht="15.75" customHeight="1" x14ac:dyDescent="0.25">
      <c r="C230" s="3"/>
      <c r="D230" s="3"/>
    </row>
    <row r="231" spans="3:4" ht="15.75" customHeight="1" x14ac:dyDescent="0.25">
      <c r="C231" s="3"/>
      <c r="D231" s="3"/>
    </row>
    <row r="232" spans="3:4" ht="15.75" customHeight="1" x14ac:dyDescent="0.25">
      <c r="C232" s="3"/>
      <c r="D232" s="3"/>
    </row>
    <row r="233" spans="3:4" ht="15.75" customHeight="1" x14ac:dyDescent="0.25">
      <c r="C233" s="3"/>
      <c r="D233" s="3"/>
    </row>
    <row r="234" spans="3:4" ht="15.75" customHeight="1" x14ac:dyDescent="0.25">
      <c r="C234" s="3"/>
      <c r="D234" s="3"/>
    </row>
    <row r="235" spans="3:4" ht="15.75" customHeight="1" x14ac:dyDescent="0.25">
      <c r="C235" s="3"/>
      <c r="D235" s="3"/>
    </row>
    <row r="236" spans="3:4" ht="15.75" customHeight="1" x14ac:dyDescent="0.25">
      <c r="C236" s="3"/>
      <c r="D236" s="3"/>
    </row>
    <row r="237" spans="3:4" ht="15.75" customHeight="1" x14ac:dyDescent="0.25">
      <c r="C237" s="3"/>
      <c r="D237" s="3"/>
    </row>
    <row r="238" spans="3:4" ht="15.75" customHeight="1" x14ac:dyDescent="0.25">
      <c r="C238" s="3"/>
      <c r="D238" s="3"/>
    </row>
    <row r="239" spans="3:4" ht="15.75" customHeight="1" x14ac:dyDescent="0.25">
      <c r="C239" s="3"/>
      <c r="D239" s="3"/>
    </row>
    <row r="240" spans="3:4" ht="15.75" customHeight="1" x14ac:dyDescent="0.25">
      <c r="C240" s="3"/>
      <c r="D240" s="3"/>
    </row>
    <row r="241" spans="3:4" ht="15.75" customHeight="1" x14ac:dyDescent="0.25">
      <c r="C241" s="3"/>
      <c r="D241" s="3"/>
    </row>
    <row r="242" spans="3:4" ht="15.75" customHeight="1" x14ac:dyDescent="0.25">
      <c r="C242" s="3"/>
      <c r="D242" s="3"/>
    </row>
    <row r="243" spans="3:4" ht="15.75" customHeight="1" x14ac:dyDescent="0.25">
      <c r="C243" s="3"/>
      <c r="D243" s="3"/>
    </row>
    <row r="244" spans="3:4" ht="15.75" customHeight="1" x14ac:dyDescent="0.25">
      <c r="C244" s="3"/>
      <c r="D244" s="3"/>
    </row>
    <row r="245" spans="3:4" ht="15.75" customHeight="1" x14ac:dyDescent="0.25">
      <c r="C245" s="3"/>
      <c r="D245" s="3"/>
    </row>
    <row r="246" spans="3:4" ht="15.75" customHeight="1" x14ac:dyDescent="0.25">
      <c r="C246" s="3"/>
      <c r="D246" s="3"/>
    </row>
    <row r="247" spans="3:4" ht="15.75" customHeight="1" x14ac:dyDescent="0.25">
      <c r="C247" s="3"/>
      <c r="D247" s="3"/>
    </row>
    <row r="248" spans="3:4" ht="15.75" customHeight="1" x14ac:dyDescent="0.25">
      <c r="C248" s="3"/>
      <c r="D248" s="3"/>
    </row>
    <row r="249" spans="3:4" ht="15.75" customHeight="1" x14ac:dyDescent="0.25">
      <c r="C249" s="3"/>
      <c r="D249" s="3"/>
    </row>
    <row r="250" spans="3:4" ht="15.75" customHeight="1" x14ac:dyDescent="0.25">
      <c r="C250" s="3"/>
      <c r="D250" s="3"/>
    </row>
    <row r="251" spans="3:4" ht="15.75" customHeight="1" x14ac:dyDescent="0.25">
      <c r="C251" s="3"/>
      <c r="D251" s="3"/>
    </row>
    <row r="252" spans="3:4" ht="15.75" customHeight="1" x14ac:dyDescent="0.25">
      <c r="C252" s="3"/>
      <c r="D252" s="3"/>
    </row>
    <row r="253" spans="3:4" ht="15.75" customHeight="1" x14ac:dyDescent="0.25">
      <c r="C253" s="3"/>
      <c r="D253" s="3"/>
    </row>
    <row r="254" spans="3:4" ht="15.75" customHeight="1" x14ac:dyDescent="0.25">
      <c r="C254" s="3"/>
      <c r="D254" s="3"/>
    </row>
    <row r="255" spans="3:4" ht="15.75" customHeight="1" x14ac:dyDescent="0.25">
      <c r="C255" s="3"/>
      <c r="D255" s="3"/>
    </row>
    <row r="256" spans="3:4" ht="15.75" customHeight="1" x14ac:dyDescent="0.25">
      <c r="C256" s="3"/>
      <c r="D256" s="3"/>
    </row>
    <row r="257" spans="3:4" ht="15.75" customHeight="1" x14ac:dyDescent="0.25">
      <c r="C257" s="3"/>
      <c r="D257" s="3"/>
    </row>
    <row r="258" spans="3:4" ht="15.75" customHeight="1" x14ac:dyDescent="0.25">
      <c r="C258" s="3"/>
      <c r="D258" s="3"/>
    </row>
    <row r="259" spans="3:4" ht="15.75" customHeight="1" x14ac:dyDescent="0.25">
      <c r="C259" s="3"/>
      <c r="D259" s="3"/>
    </row>
    <row r="260" spans="3:4" ht="15.75" customHeight="1" x14ac:dyDescent="0.25">
      <c r="C260" s="3"/>
      <c r="D260" s="3"/>
    </row>
    <row r="261" spans="3:4" ht="15.75" customHeight="1" x14ac:dyDescent="0.25">
      <c r="C261" s="3"/>
      <c r="D261" s="3"/>
    </row>
    <row r="262" spans="3:4" ht="15.75" customHeight="1" x14ac:dyDescent="0.25">
      <c r="C262" s="3"/>
      <c r="D262" s="3"/>
    </row>
    <row r="263" spans="3:4" ht="15.75" customHeight="1" x14ac:dyDescent="0.25">
      <c r="C263" s="3"/>
      <c r="D263" s="3"/>
    </row>
    <row r="264" spans="3:4" ht="15.75" customHeight="1" x14ac:dyDescent="0.25">
      <c r="C264" s="3"/>
      <c r="D264" s="3"/>
    </row>
    <row r="265" spans="3:4" ht="15.75" customHeight="1" x14ac:dyDescent="0.25">
      <c r="C265" s="3"/>
      <c r="D265" s="3"/>
    </row>
    <row r="266" spans="3:4" ht="15.75" customHeight="1" x14ac:dyDescent="0.25">
      <c r="C266" s="3"/>
      <c r="D266" s="3"/>
    </row>
    <row r="267" spans="3:4" ht="15.75" customHeight="1" x14ac:dyDescent="0.25">
      <c r="C267" s="3"/>
      <c r="D267" s="3"/>
    </row>
    <row r="268" spans="3:4" ht="15.75" customHeight="1" x14ac:dyDescent="0.25">
      <c r="C268" s="3"/>
      <c r="D268" s="3"/>
    </row>
    <row r="269" spans="3:4" ht="15.75" customHeight="1" x14ac:dyDescent="0.25">
      <c r="C269" s="3"/>
      <c r="D269" s="3"/>
    </row>
    <row r="270" spans="3:4" ht="15.75" customHeight="1" x14ac:dyDescent="0.25">
      <c r="C270" s="3"/>
      <c r="D270" s="3"/>
    </row>
    <row r="271" spans="3:4" ht="15.75" customHeight="1" x14ac:dyDescent="0.25">
      <c r="C271" s="3"/>
      <c r="D271" s="3"/>
    </row>
    <row r="272" spans="3:4" ht="15.75" customHeight="1" x14ac:dyDescent="0.25">
      <c r="C272" s="3"/>
      <c r="D272" s="3"/>
    </row>
    <row r="273" spans="3:4" ht="15.75" customHeight="1" x14ac:dyDescent="0.25">
      <c r="C273" s="3"/>
      <c r="D273" s="3"/>
    </row>
    <row r="274" spans="3:4" ht="15.75" customHeight="1" x14ac:dyDescent="0.25">
      <c r="C274" s="3"/>
      <c r="D274" s="3"/>
    </row>
    <row r="275" spans="3:4" ht="15.75" customHeight="1" x14ac:dyDescent="0.25">
      <c r="C275" s="3"/>
      <c r="D275" s="3"/>
    </row>
    <row r="276" spans="3:4" ht="15.75" customHeight="1" x14ac:dyDescent="0.25">
      <c r="C276" s="3"/>
      <c r="D276" s="3"/>
    </row>
    <row r="277" spans="3:4" ht="15.75" customHeight="1" x14ac:dyDescent="0.25">
      <c r="C277" s="3"/>
      <c r="D277" s="3"/>
    </row>
    <row r="278" spans="3:4" ht="15.75" customHeight="1" x14ac:dyDescent="0.25">
      <c r="C278" s="3"/>
      <c r="D278" s="3"/>
    </row>
    <row r="279" spans="3:4" ht="15.75" customHeight="1" x14ac:dyDescent="0.25">
      <c r="C279" s="3"/>
      <c r="D279" s="3"/>
    </row>
    <row r="280" spans="3:4" ht="15.75" customHeight="1" x14ac:dyDescent="0.25">
      <c r="C280" s="3"/>
      <c r="D280" s="3"/>
    </row>
    <row r="281" spans="3:4" ht="15.75" customHeight="1" x14ac:dyDescent="0.25">
      <c r="C281" s="3"/>
      <c r="D281" s="3"/>
    </row>
    <row r="282" spans="3:4" ht="15.75" customHeight="1" x14ac:dyDescent="0.25">
      <c r="C282" s="3"/>
      <c r="D282" s="3"/>
    </row>
    <row r="283" spans="3:4" ht="15.75" customHeight="1" x14ac:dyDescent="0.25">
      <c r="C283" s="3"/>
      <c r="D283" s="3"/>
    </row>
    <row r="284" spans="3:4" ht="15.75" customHeight="1" x14ac:dyDescent="0.25">
      <c r="C284" s="3"/>
      <c r="D284" s="3"/>
    </row>
    <row r="285" spans="3:4" ht="15.75" customHeight="1" x14ac:dyDescent="0.25">
      <c r="C285" s="3"/>
      <c r="D285" s="3"/>
    </row>
    <row r="286" spans="3:4" ht="15.75" customHeight="1" x14ac:dyDescent="0.25">
      <c r="C286" s="3"/>
      <c r="D286" s="3"/>
    </row>
    <row r="287" spans="3:4" ht="15.75" customHeight="1" x14ac:dyDescent="0.25">
      <c r="C287" s="3"/>
      <c r="D287" s="3"/>
    </row>
    <row r="288" spans="3:4" ht="15.75" customHeight="1" x14ac:dyDescent="0.25">
      <c r="C288" s="3"/>
      <c r="D288" s="3"/>
    </row>
    <row r="289" spans="3:4" ht="15.75" customHeight="1" x14ac:dyDescent="0.25">
      <c r="C289" s="3"/>
      <c r="D289" s="3"/>
    </row>
    <row r="290" spans="3:4" ht="15.75" customHeight="1" x14ac:dyDescent="0.25">
      <c r="C290" s="3"/>
      <c r="D290" s="3"/>
    </row>
    <row r="291" spans="3:4" ht="15.75" customHeight="1" x14ac:dyDescent="0.25">
      <c r="C291" s="3"/>
      <c r="D291" s="3"/>
    </row>
    <row r="292" spans="3:4" ht="15.75" customHeight="1" x14ac:dyDescent="0.25">
      <c r="C292" s="3"/>
      <c r="D292" s="3"/>
    </row>
    <row r="293" spans="3:4" ht="15.75" customHeight="1" x14ac:dyDescent="0.25">
      <c r="C293" s="3"/>
      <c r="D293" s="3"/>
    </row>
    <row r="294" spans="3:4" ht="15.75" customHeight="1" x14ac:dyDescent="0.25">
      <c r="C294" s="3"/>
      <c r="D294" s="3"/>
    </row>
    <row r="295" spans="3:4" ht="15.75" customHeight="1" x14ac:dyDescent="0.25">
      <c r="C295" s="3"/>
      <c r="D295" s="3"/>
    </row>
    <row r="296" spans="3:4" ht="15.75" customHeight="1" x14ac:dyDescent="0.25">
      <c r="C296" s="3"/>
      <c r="D296" s="3"/>
    </row>
    <row r="297" spans="3:4" ht="15.75" customHeight="1" x14ac:dyDescent="0.25">
      <c r="C297" s="3"/>
      <c r="D297" s="3"/>
    </row>
    <row r="298" spans="3:4" ht="15.75" customHeight="1" x14ac:dyDescent="0.25">
      <c r="C298" s="3"/>
      <c r="D298" s="3"/>
    </row>
    <row r="299" spans="3:4" ht="15.75" customHeight="1" x14ac:dyDescent="0.25">
      <c r="C299" s="3"/>
      <c r="D299" s="3"/>
    </row>
    <row r="300" spans="3:4" ht="15.75" customHeight="1" x14ac:dyDescent="0.25">
      <c r="C300" s="3"/>
      <c r="D300" s="3"/>
    </row>
    <row r="301" spans="3:4" ht="15.75" customHeight="1" x14ac:dyDescent="0.25">
      <c r="C301" s="3"/>
      <c r="D301" s="3"/>
    </row>
    <row r="302" spans="3:4" ht="15.75" customHeight="1" x14ac:dyDescent="0.25">
      <c r="C302" s="3"/>
      <c r="D302" s="3"/>
    </row>
    <row r="303" spans="3:4" ht="15.75" customHeight="1" x14ac:dyDescent="0.25">
      <c r="C303" s="3"/>
      <c r="D303" s="3"/>
    </row>
    <row r="304" spans="3:4" ht="15.75" customHeight="1" x14ac:dyDescent="0.25">
      <c r="C304" s="3"/>
      <c r="D304" s="3"/>
    </row>
    <row r="305" spans="3:4" ht="15.75" customHeight="1" x14ac:dyDescent="0.25">
      <c r="C305" s="3"/>
      <c r="D305" s="3"/>
    </row>
    <row r="306" spans="3:4" ht="15.75" customHeight="1" x14ac:dyDescent="0.25">
      <c r="C306" s="3"/>
      <c r="D306" s="3"/>
    </row>
    <row r="307" spans="3:4" ht="15.75" customHeight="1" x14ac:dyDescent="0.25">
      <c r="C307" s="3"/>
      <c r="D307" s="3"/>
    </row>
    <row r="308" spans="3:4" ht="15.75" customHeight="1" x14ac:dyDescent="0.25">
      <c r="C308" s="3"/>
      <c r="D308" s="3"/>
    </row>
    <row r="309" spans="3:4" ht="15.75" customHeight="1" x14ac:dyDescent="0.25">
      <c r="C309" s="3"/>
      <c r="D309" s="3"/>
    </row>
    <row r="310" spans="3:4" ht="15.75" customHeight="1" x14ac:dyDescent="0.25">
      <c r="C310" s="3"/>
      <c r="D310" s="3"/>
    </row>
    <row r="311" spans="3:4" ht="15.75" customHeight="1" x14ac:dyDescent="0.25">
      <c r="C311" s="3"/>
      <c r="D311" s="3"/>
    </row>
    <row r="312" spans="3:4" ht="15.75" customHeight="1" x14ac:dyDescent="0.25">
      <c r="C312" s="3"/>
      <c r="D312" s="3"/>
    </row>
    <row r="313" spans="3:4" ht="15.75" customHeight="1" x14ac:dyDescent="0.25">
      <c r="C313" s="3"/>
      <c r="D313" s="3"/>
    </row>
    <row r="314" spans="3:4" ht="15.75" customHeight="1" x14ac:dyDescent="0.25">
      <c r="C314" s="3"/>
      <c r="D314" s="3"/>
    </row>
    <row r="315" spans="3:4" ht="15.75" customHeight="1" x14ac:dyDescent="0.25">
      <c r="C315" s="3"/>
      <c r="D315" s="3"/>
    </row>
    <row r="316" spans="3:4" ht="15.75" customHeight="1" x14ac:dyDescent="0.25">
      <c r="C316" s="3"/>
      <c r="D316" s="3"/>
    </row>
    <row r="317" spans="3:4" ht="15.75" customHeight="1" x14ac:dyDescent="0.25">
      <c r="C317" s="3"/>
      <c r="D317" s="3"/>
    </row>
    <row r="318" spans="3:4" ht="15.75" customHeight="1" x14ac:dyDescent="0.25">
      <c r="C318" s="3"/>
      <c r="D318" s="3"/>
    </row>
    <row r="319" spans="3:4" ht="15.75" customHeight="1" x14ac:dyDescent="0.25">
      <c r="C319" s="3"/>
      <c r="D319" s="3"/>
    </row>
    <row r="320" spans="3:4" ht="15.75" customHeight="1" x14ac:dyDescent="0.25">
      <c r="C320" s="3"/>
      <c r="D320" s="3"/>
    </row>
    <row r="321" spans="3:4" ht="15.75" customHeight="1" x14ac:dyDescent="0.25">
      <c r="C321" s="3"/>
      <c r="D321" s="3"/>
    </row>
    <row r="322" spans="3:4" ht="15.75" customHeight="1" x14ac:dyDescent="0.25">
      <c r="C322" s="3"/>
      <c r="D322" s="3"/>
    </row>
    <row r="323" spans="3:4" ht="15.75" customHeight="1" x14ac:dyDescent="0.25">
      <c r="C323" s="3"/>
      <c r="D323" s="3"/>
    </row>
    <row r="324" spans="3:4" ht="15.75" customHeight="1" x14ac:dyDescent="0.25">
      <c r="C324" s="3"/>
      <c r="D324" s="3"/>
    </row>
    <row r="325" spans="3:4" ht="15.75" customHeight="1" x14ac:dyDescent="0.25">
      <c r="C325" s="3"/>
      <c r="D325" s="3"/>
    </row>
    <row r="326" spans="3:4" ht="15.75" customHeight="1" x14ac:dyDescent="0.25">
      <c r="C326" s="3"/>
      <c r="D326" s="3"/>
    </row>
    <row r="327" spans="3:4" ht="15.75" customHeight="1" x14ac:dyDescent="0.25">
      <c r="C327" s="3"/>
      <c r="D327" s="3"/>
    </row>
    <row r="328" spans="3:4" ht="15.75" customHeight="1" x14ac:dyDescent="0.25">
      <c r="C328" s="3"/>
      <c r="D328" s="3"/>
    </row>
    <row r="329" spans="3:4" ht="15.75" customHeight="1" x14ac:dyDescent="0.25">
      <c r="C329" s="3"/>
      <c r="D329" s="3"/>
    </row>
    <row r="330" spans="3:4" ht="15.75" customHeight="1" x14ac:dyDescent="0.25">
      <c r="C330" s="3"/>
      <c r="D330" s="3"/>
    </row>
    <row r="331" spans="3:4" ht="15.75" customHeight="1" x14ac:dyDescent="0.25">
      <c r="C331" s="3"/>
      <c r="D331" s="3"/>
    </row>
    <row r="332" spans="3:4" ht="15.75" customHeight="1" x14ac:dyDescent="0.25">
      <c r="C332" s="3"/>
      <c r="D332" s="3"/>
    </row>
    <row r="333" spans="3:4" ht="15.75" customHeight="1" x14ac:dyDescent="0.25">
      <c r="C333" s="3"/>
      <c r="D333" s="3"/>
    </row>
    <row r="334" spans="3:4" ht="15.75" customHeight="1" x14ac:dyDescent="0.25">
      <c r="C334" s="3"/>
      <c r="D334" s="3"/>
    </row>
    <row r="335" spans="3:4" ht="15.75" customHeight="1" x14ac:dyDescent="0.25">
      <c r="C335" s="3"/>
      <c r="D335" s="3"/>
    </row>
    <row r="336" spans="3:4" ht="15.75" customHeight="1" x14ac:dyDescent="0.25">
      <c r="C336" s="3"/>
      <c r="D336" s="3"/>
    </row>
    <row r="337" spans="3:4" ht="15.75" customHeight="1" x14ac:dyDescent="0.25">
      <c r="C337" s="3"/>
      <c r="D337" s="3"/>
    </row>
    <row r="338" spans="3:4" ht="15.75" customHeight="1" x14ac:dyDescent="0.25">
      <c r="C338" s="3"/>
      <c r="D338" s="3"/>
    </row>
    <row r="339" spans="3:4" ht="15.75" customHeight="1" x14ac:dyDescent="0.25">
      <c r="C339" s="3"/>
      <c r="D339" s="3"/>
    </row>
    <row r="340" spans="3:4" ht="15.75" customHeight="1" x14ac:dyDescent="0.25">
      <c r="C340" s="3"/>
      <c r="D340" s="3"/>
    </row>
    <row r="341" spans="3:4" ht="15.75" customHeight="1" x14ac:dyDescent="0.25">
      <c r="C341" s="3"/>
      <c r="D341" s="3"/>
    </row>
    <row r="342" spans="3:4" ht="15.75" customHeight="1" x14ac:dyDescent="0.25">
      <c r="C342" s="3"/>
      <c r="D342" s="3"/>
    </row>
    <row r="343" spans="3:4" ht="15.75" customHeight="1" x14ac:dyDescent="0.25">
      <c r="C343" s="3"/>
      <c r="D343" s="3"/>
    </row>
    <row r="344" spans="3:4" ht="15.75" customHeight="1" x14ac:dyDescent="0.25">
      <c r="C344" s="3"/>
      <c r="D344" s="3"/>
    </row>
    <row r="345" spans="3:4" ht="15.75" customHeight="1" x14ac:dyDescent="0.25">
      <c r="C345" s="3"/>
      <c r="D345" s="3"/>
    </row>
    <row r="346" spans="3:4" ht="15.75" customHeight="1" x14ac:dyDescent="0.25">
      <c r="C346" s="3"/>
      <c r="D346" s="3"/>
    </row>
    <row r="347" spans="3:4" ht="15.75" customHeight="1" x14ac:dyDescent="0.25">
      <c r="C347" s="3"/>
      <c r="D347" s="3"/>
    </row>
    <row r="348" spans="3:4" ht="15.75" customHeight="1" x14ac:dyDescent="0.25">
      <c r="C348" s="3"/>
      <c r="D348" s="3"/>
    </row>
    <row r="349" spans="3:4" ht="15.75" customHeight="1" x14ac:dyDescent="0.25">
      <c r="C349" s="3"/>
      <c r="D349" s="3"/>
    </row>
    <row r="350" spans="3:4" ht="15.75" customHeight="1" x14ac:dyDescent="0.25">
      <c r="C350" s="3"/>
      <c r="D350" s="3"/>
    </row>
    <row r="351" spans="3:4" ht="15.75" customHeight="1" x14ac:dyDescent="0.25">
      <c r="C351" s="3"/>
      <c r="D351" s="3"/>
    </row>
    <row r="352" spans="3:4" ht="15.75" customHeight="1" x14ac:dyDescent="0.25">
      <c r="C352" s="3"/>
      <c r="D352" s="3"/>
    </row>
    <row r="353" spans="3:4" ht="15.75" customHeight="1" x14ac:dyDescent="0.25">
      <c r="C353" s="3"/>
      <c r="D353" s="3"/>
    </row>
    <row r="354" spans="3:4" ht="15.75" customHeight="1" x14ac:dyDescent="0.25">
      <c r="C354" s="3"/>
      <c r="D354" s="3"/>
    </row>
    <row r="355" spans="3:4" ht="15.75" customHeight="1" x14ac:dyDescent="0.25">
      <c r="C355" s="3"/>
      <c r="D355" s="3"/>
    </row>
    <row r="356" spans="3:4" ht="15.75" customHeight="1" x14ac:dyDescent="0.25">
      <c r="C356" s="3"/>
      <c r="D356" s="3"/>
    </row>
    <row r="357" spans="3:4" ht="15.75" customHeight="1" x14ac:dyDescent="0.25">
      <c r="C357" s="3"/>
      <c r="D357" s="3"/>
    </row>
    <row r="358" spans="3:4" ht="15.75" customHeight="1" x14ac:dyDescent="0.25">
      <c r="C358" s="3"/>
      <c r="D358" s="3"/>
    </row>
    <row r="359" spans="3:4" ht="15.75" customHeight="1" x14ac:dyDescent="0.25">
      <c r="C359" s="3"/>
      <c r="D359" s="3"/>
    </row>
    <row r="360" spans="3:4" ht="15.75" customHeight="1" x14ac:dyDescent="0.25">
      <c r="C360" s="3"/>
      <c r="D360" s="3"/>
    </row>
    <row r="361" spans="3:4" ht="15.75" customHeight="1" x14ac:dyDescent="0.25">
      <c r="C361" s="3"/>
      <c r="D361" s="3"/>
    </row>
    <row r="362" spans="3:4" ht="15.75" customHeight="1" x14ac:dyDescent="0.25">
      <c r="C362" s="3"/>
      <c r="D362" s="3"/>
    </row>
    <row r="363" spans="3:4" ht="15.75" customHeight="1" x14ac:dyDescent="0.25">
      <c r="C363" s="3"/>
      <c r="D363" s="3"/>
    </row>
    <row r="364" spans="3:4" ht="15.75" customHeight="1" x14ac:dyDescent="0.25">
      <c r="C364" s="3"/>
      <c r="D364" s="3"/>
    </row>
    <row r="365" spans="3:4" ht="15.75" customHeight="1" x14ac:dyDescent="0.25">
      <c r="C365" s="3"/>
      <c r="D365" s="3"/>
    </row>
    <row r="366" spans="3:4" ht="15.75" customHeight="1" x14ac:dyDescent="0.25">
      <c r="C366" s="3"/>
      <c r="D366" s="3"/>
    </row>
    <row r="367" spans="3:4" ht="15.75" customHeight="1" x14ac:dyDescent="0.25">
      <c r="C367" s="3"/>
      <c r="D367" s="3"/>
    </row>
    <row r="368" spans="3:4" ht="15.75" customHeight="1" x14ac:dyDescent="0.25">
      <c r="C368" s="3"/>
      <c r="D368" s="3"/>
    </row>
    <row r="369" spans="3:4" ht="15.75" customHeight="1" x14ac:dyDescent="0.25">
      <c r="C369" s="3"/>
      <c r="D369" s="3"/>
    </row>
    <row r="370" spans="3:4" ht="15.75" customHeight="1" x14ac:dyDescent="0.25">
      <c r="C370" s="3"/>
      <c r="D370" s="3"/>
    </row>
    <row r="371" spans="3:4" ht="15.75" customHeight="1" x14ac:dyDescent="0.25">
      <c r="C371" s="3"/>
      <c r="D371" s="3"/>
    </row>
    <row r="372" spans="3:4" ht="15.75" customHeight="1" x14ac:dyDescent="0.25">
      <c r="C372" s="3"/>
      <c r="D372" s="3"/>
    </row>
    <row r="373" spans="3:4" ht="15.75" customHeight="1" x14ac:dyDescent="0.25">
      <c r="C373" s="3"/>
      <c r="D373" s="3"/>
    </row>
    <row r="374" spans="3:4" ht="15.75" customHeight="1" x14ac:dyDescent="0.25">
      <c r="C374" s="3"/>
      <c r="D374" s="3"/>
    </row>
    <row r="375" spans="3:4" ht="15.75" customHeight="1" x14ac:dyDescent="0.25">
      <c r="C375" s="3"/>
      <c r="D375" s="3"/>
    </row>
    <row r="376" spans="3:4" ht="15.75" customHeight="1" x14ac:dyDescent="0.25">
      <c r="C376" s="3"/>
      <c r="D376" s="3"/>
    </row>
    <row r="377" spans="3:4" ht="15.75" customHeight="1" x14ac:dyDescent="0.25">
      <c r="C377" s="3"/>
      <c r="D377" s="3"/>
    </row>
    <row r="378" spans="3:4" ht="15.75" customHeight="1" x14ac:dyDescent="0.25">
      <c r="C378" s="3"/>
      <c r="D378" s="3"/>
    </row>
    <row r="379" spans="3:4" ht="15.75" customHeight="1" x14ac:dyDescent="0.25">
      <c r="C379" s="3"/>
      <c r="D379" s="3"/>
    </row>
    <row r="380" spans="3:4" ht="15.75" customHeight="1" x14ac:dyDescent="0.25">
      <c r="C380" s="3"/>
      <c r="D380" s="3"/>
    </row>
    <row r="381" spans="3:4" ht="15.75" customHeight="1" x14ac:dyDescent="0.25">
      <c r="C381" s="3"/>
      <c r="D381" s="3"/>
    </row>
    <row r="382" spans="3:4" ht="15.75" customHeight="1" x14ac:dyDescent="0.25">
      <c r="C382" s="3"/>
      <c r="D382" s="3"/>
    </row>
    <row r="383" spans="3:4" ht="15.75" customHeight="1" x14ac:dyDescent="0.25">
      <c r="C383" s="3"/>
      <c r="D383" s="3"/>
    </row>
    <row r="384" spans="3:4" ht="15.75" customHeight="1" x14ac:dyDescent="0.25">
      <c r="C384" s="3"/>
      <c r="D384" s="3"/>
    </row>
    <row r="385" spans="3:4" ht="15.75" customHeight="1" x14ac:dyDescent="0.25">
      <c r="C385" s="3"/>
      <c r="D385" s="3"/>
    </row>
    <row r="386" spans="3:4" ht="15.75" customHeight="1" x14ac:dyDescent="0.25">
      <c r="C386" s="3"/>
      <c r="D386" s="3"/>
    </row>
    <row r="387" spans="3:4" ht="15.75" customHeight="1" x14ac:dyDescent="0.25">
      <c r="C387" s="3"/>
      <c r="D387" s="3"/>
    </row>
    <row r="388" spans="3:4" ht="15.75" customHeight="1" x14ac:dyDescent="0.25">
      <c r="C388" s="3"/>
      <c r="D388" s="3"/>
    </row>
    <row r="389" spans="3:4" ht="15.75" customHeight="1" x14ac:dyDescent="0.25">
      <c r="C389" s="3"/>
      <c r="D389" s="3"/>
    </row>
    <row r="390" spans="3:4" ht="15.75" customHeight="1" x14ac:dyDescent="0.25">
      <c r="C390" s="3"/>
      <c r="D390" s="3"/>
    </row>
    <row r="391" spans="3:4" ht="15.75" customHeight="1" x14ac:dyDescent="0.25">
      <c r="C391" s="3"/>
      <c r="D391" s="3"/>
    </row>
    <row r="392" spans="3:4" ht="15.75" customHeight="1" x14ac:dyDescent="0.25">
      <c r="C392" s="3"/>
      <c r="D392" s="3"/>
    </row>
    <row r="393" spans="3:4" ht="15.75" customHeight="1" x14ac:dyDescent="0.25">
      <c r="C393" s="3"/>
      <c r="D393" s="3"/>
    </row>
    <row r="394" spans="3:4" ht="15.75" customHeight="1" x14ac:dyDescent="0.25">
      <c r="C394" s="3"/>
      <c r="D394" s="3"/>
    </row>
    <row r="395" spans="3:4" ht="15.75" customHeight="1" x14ac:dyDescent="0.25">
      <c r="C395" s="3"/>
      <c r="D395" s="3"/>
    </row>
    <row r="396" spans="3:4" ht="15.75" customHeight="1" x14ac:dyDescent="0.25">
      <c r="C396" s="3"/>
      <c r="D396" s="3"/>
    </row>
    <row r="397" spans="3:4" ht="15.75" customHeight="1" x14ac:dyDescent="0.25">
      <c r="C397" s="3"/>
      <c r="D397" s="3"/>
    </row>
    <row r="398" spans="3:4" ht="15.75" customHeight="1" x14ac:dyDescent="0.25">
      <c r="C398" s="3"/>
      <c r="D398" s="3"/>
    </row>
    <row r="399" spans="3:4" ht="15.75" customHeight="1" x14ac:dyDescent="0.25">
      <c r="C399" s="3"/>
      <c r="D399" s="3"/>
    </row>
    <row r="400" spans="3:4" ht="15.75" customHeight="1" x14ac:dyDescent="0.25">
      <c r="C400" s="3"/>
      <c r="D400" s="3"/>
    </row>
    <row r="401" spans="3:4" ht="15.75" customHeight="1" x14ac:dyDescent="0.25">
      <c r="C401" s="3"/>
      <c r="D401" s="3"/>
    </row>
    <row r="402" spans="3:4" ht="15.75" customHeight="1" x14ac:dyDescent="0.25">
      <c r="C402" s="3"/>
      <c r="D402" s="3"/>
    </row>
    <row r="403" spans="3:4" ht="15.75" customHeight="1" x14ac:dyDescent="0.25">
      <c r="C403" s="3"/>
      <c r="D403" s="3"/>
    </row>
    <row r="404" spans="3:4" ht="15.75" customHeight="1" x14ac:dyDescent="0.25">
      <c r="C404" s="3"/>
      <c r="D404" s="3"/>
    </row>
    <row r="405" spans="3:4" ht="15.75" customHeight="1" x14ac:dyDescent="0.25">
      <c r="C405" s="3"/>
      <c r="D405" s="3"/>
    </row>
    <row r="406" spans="3:4" ht="15.75" customHeight="1" x14ac:dyDescent="0.25">
      <c r="C406" s="3"/>
      <c r="D406" s="3"/>
    </row>
    <row r="407" spans="3:4" ht="15.75" customHeight="1" x14ac:dyDescent="0.25">
      <c r="C407" s="3"/>
      <c r="D407" s="3"/>
    </row>
    <row r="408" spans="3:4" ht="15.75" customHeight="1" x14ac:dyDescent="0.25">
      <c r="C408" s="3"/>
      <c r="D408" s="3"/>
    </row>
    <row r="409" spans="3:4" ht="15.75" customHeight="1" x14ac:dyDescent="0.25">
      <c r="C409" s="3"/>
      <c r="D409" s="3"/>
    </row>
    <row r="410" spans="3:4" ht="15.75" customHeight="1" x14ac:dyDescent="0.25">
      <c r="C410" s="3"/>
      <c r="D410" s="3"/>
    </row>
    <row r="411" spans="3:4" ht="15.75" customHeight="1" x14ac:dyDescent="0.25">
      <c r="C411" s="3"/>
      <c r="D411" s="3"/>
    </row>
    <row r="412" spans="3:4" ht="15.75" customHeight="1" x14ac:dyDescent="0.25">
      <c r="C412" s="3"/>
      <c r="D412" s="3"/>
    </row>
    <row r="413" spans="3:4" ht="15.75" customHeight="1" x14ac:dyDescent="0.25">
      <c r="C413" s="3"/>
      <c r="D413" s="3"/>
    </row>
    <row r="414" spans="3:4" ht="15.75" customHeight="1" x14ac:dyDescent="0.25">
      <c r="C414" s="3"/>
      <c r="D414" s="3"/>
    </row>
    <row r="415" spans="3:4" ht="15.75" customHeight="1" x14ac:dyDescent="0.25">
      <c r="C415" s="3"/>
      <c r="D415" s="3"/>
    </row>
    <row r="416" spans="3:4" ht="15.75" customHeight="1" x14ac:dyDescent="0.25">
      <c r="C416" s="3"/>
      <c r="D416" s="3"/>
    </row>
    <row r="417" spans="3:4" ht="15.75" customHeight="1" x14ac:dyDescent="0.25">
      <c r="C417" s="3"/>
      <c r="D417" s="3"/>
    </row>
    <row r="418" spans="3:4" ht="15.75" customHeight="1" x14ac:dyDescent="0.25">
      <c r="C418" s="3"/>
      <c r="D418" s="3"/>
    </row>
    <row r="419" spans="3:4" ht="15.75" customHeight="1" x14ac:dyDescent="0.25">
      <c r="C419" s="3"/>
      <c r="D419" s="3"/>
    </row>
    <row r="420" spans="3:4" ht="15.75" customHeight="1" x14ac:dyDescent="0.25">
      <c r="C420" s="3"/>
      <c r="D420" s="3"/>
    </row>
    <row r="421" spans="3:4" ht="15.75" customHeight="1" x14ac:dyDescent="0.25">
      <c r="C421" s="3"/>
      <c r="D421" s="3"/>
    </row>
    <row r="422" spans="3:4" ht="15.75" customHeight="1" x14ac:dyDescent="0.25">
      <c r="C422" s="3"/>
      <c r="D422" s="3"/>
    </row>
    <row r="423" spans="3:4" ht="15.75" customHeight="1" x14ac:dyDescent="0.25">
      <c r="C423" s="3"/>
      <c r="D423" s="3"/>
    </row>
    <row r="424" spans="3:4" ht="15.75" customHeight="1" x14ac:dyDescent="0.25">
      <c r="C424" s="3"/>
      <c r="D424" s="3"/>
    </row>
    <row r="425" spans="3:4" ht="15.75" customHeight="1" x14ac:dyDescent="0.25">
      <c r="C425" s="3"/>
      <c r="D425" s="3"/>
    </row>
    <row r="426" spans="3:4" ht="15.75" customHeight="1" x14ac:dyDescent="0.25">
      <c r="C426" s="3"/>
      <c r="D426" s="3"/>
    </row>
    <row r="427" spans="3:4" ht="15.75" customHeight="1" x14ac:dyDescent="0.25">
      <c r="C427" s="3"/>
      <c r="D427" s="3"/>
    </row>
    <row r="428" spans="3:4" ht="15.75" customHeight="1" x14ac:dyDescent="0.25">
      <c r="C428" s="3"/>
      <c r="D428" s="3"/>
    </row>
    <row r="429" spans="3:4" ht="15.75" customHeight="1" x14ac:dyDescent="0.25">
      <c r="C429" s="3"/>
      <c r="D429" s="3"/>
    </row>
    <row r="430" spans="3:4" ht="15.75" customHeight="1" x14ac:dyDescent="0.25">
      <c r="C430" s="3"/>
      <c r="D430" s="3"/>
    </row>
    <row r="431" spans="3:4" ht="15.75" customHeight="1" x14ac:dyDescent="0.25">
      <c r="C431" s="3"/>
      <c r="D431" s="3"/>
    </row>
    <row r="432" spans="3:4" ht="15.75" customHeight="1" x14ac:dyDescent="0.25">
      <c r="C432" s="3"/>
      <c r="D432" s="3"/>
    </row>
    <row r="433" spans="3:4" ht="15.75" customHeight="1" x14ac:dyDescent="0.25">
      <c r="C433" s="3"/>
      <c r="D433" s="3"/>
    </row>
    <row r="434" spans="3:4" ht="15.75" customHeight="1" x14ac:dyDescent="0.25">
      <c r="C434" s="3"/>
      <c r="D434" s="3"/>
    </row>
    <row r="435" spans="3:4" ht="15.75" customHeight="1" x14ac:dyDescent="0.25">
      <c r="C435" s="3"/>
      <c r="D435" s="3"/>
    </row>
    <row r="436" spans="3:4" ht="15.75" customHeight="1" x14ac:dyDescent="0.25">
      <c r="C436" s="3"/>
      <c r="D436" s="3"/>
    </row>
    <row r="437" spans="3:4" ht="15.75" customHeight="1" x14ac:dyDescent="0.25">
      <c r="C437" s="3"/>
      <c r="D437" s="3"/>
    </row>
    <row r="438" spans="3:4" ht="15.75" customHeight="1" x14ac:dyDescent="0.25">
      <c r="C438" s="3"/>
      <c r="D438" s="3"/>
    </row>
    <row r="439" spans="3:4" ht="15.75" customHeight="1" x14ac:dyDescent="0.25">
      <c r="C439" s="3"/>
      <c r="D439" s="3"/>
    </row>
    <row r="440" spans="3:4" ht="15.75" customHeight="1" x14ac:dyDescent="0.25">
      <c r="C440" s="3"/>
      <c r="D440" s="3"/>
    </row>
    <row r="441" spans="3:4" ht="15.75" customHeight="1" x14ac:dyDescent="0.25">
      <c r="C441" s="3"/>
      <c r="D441" s="3"/>
    </row>
    <row r="442" spans="3:4" ht="15.75" customHeight="1" x14ac:dyDescent="0.25">
      <c r="C442" s="3"/>
      <c r="D442" s="3"/>
    </row>
    <row r="443" spans="3:4" ht="15.75" customHeight="1" x14ac:dyDescent="0.25">
      <c r="C443" s="3"/>
      <c r="D443" s="3"/>
    </row>
    <row r="444" spans="3:4" ht="15.75" customHeight="1" x14ac:dyDescent="0.25">
      <c r="C444" s="3"/>
      <c r="D444" s="3"/>
    </row>
    <row r="445" spans="3:4" ht="15.75" customHeight="1" x14ac:dyDescent="0.25">
      <c r="C445" s="3"/>
      <c r="D445" s="3"/>
    </row>
    <row r="446" spans="3:4" ht="15.75" customHeight="1" x14ac:dyDescent="0.25">
      <c r="C446" s="3"/>
      <c r="D446" s="3"/>
    </row>
    <row r="447" spans="3:4" ht="15.75" customHeight="1" x14ac:dyDescent="0.25">
      <c r="C447" s="3"/>
      <c r="D447" s="3"/>
    </row>
    <row r="448" spans="3:4" ht="15.75" customHeight="1" x14ac:dyDescent="0.25">
      <c r="C448" s="3"/>
      <c r="D448" s="3"/>
    </row>
    <row r="449" spans="3:4" ht="15.75" customHeight="1" x14ac:dyDescent="0.25">
      <c r="C449" s="3"/>
      <c r="D449" s="3"/>
    </row>
    <row r="450" spans="3:4" ht="15.75" customHeight="1" x14ac:dyDescent="0.25">
      <c r="C450" s="3"/>
      <c r="D450" s="3"/>
    </row>
    <row r="451" spans="3:4" ht="15.75" customHeight="1" x14ac:dyDescent="0.25">
      <c r="C451" s="3"/>
      <c r="D451" s="3"/>
    </row>
    <row r="452" spans="3:4" ht="15.75" customHeight="1" x14ac:dyDescent="0.25">
      <c r="C452" s="3"/>
      <c r="D452" s="3"/>
    </row>
    <row r="453" spans="3:4" ht="15.75" customHeight="1" x14ac:dyDescent="0.25">
      <c r="C453" s="3"/>
      <c r="D453" s="3"/>
    </row>
    <row r="454" spans="3:4" ht="15.75" customHeight="1" x14ac:dyDescent="0.25">
      <c r="C454" s="3"/>
      <c r="D454" s="3"/>
    </row>
    <row r="455" spans="3:4" ht="15.75" customHeight="1" x14ac:dyDescent="0.25">
      <c r="C455" s="3"/>
      <c r="D455" s="3"/>
    </row>
    <row r="456" spans="3:4" ht="15.75" customHeight="1" x14ac:dyDescent="0.25">
      <c r="C456" s="3"/>
      <c r="D456" s="3"/>
    </row>
    <row r="457" spans="3:4" ht="15.75" customHeight="1" x14ac:dyDescent="0.25">
      <c r="C457" s="3"/>
      <c r="D457" s="3"/>
    </row>
    <row r="458" spans="3:4" ht="15.75" customHeight="1" x14ac:dyDescent="0.25">
      <c r="C458" s="3"/>
      <c r="D458" s="3"/>
    </row>
    <row r="459" spans="3:4" ht="15.75" customHeight="1" x14ac:dyDescent="0.25">
      <c r="C459" s="3"/>
      <c r="D459" s="3"/>
    </row>
    <row r="460" spans="3:4" ht="15.75" customHeight="1" x14ac:dyDescent="0.25">
      <c r="C460" s="3"/>
      <c r="D460" s="3"/>
    </row>
    <row r="461" spans="3:4" ht="15.75" customHeight="1" x14ac:dyDescent="0.25">
      <c r="C461" s="3"/>
      <c r="D461" s="3"/>
    </row>
    <row r="462" spans="3:4" ht="15.75" customHeight="1" x14ac:dyDescent="0.25">
      <c r="C462" s="3"/>
      <c r="D462" s="3"/>
    </row>
    <row r="463" spans="3:4" ht="15.75" customHeight="1" x14ac:dyDescent="0.25">
      <c r="C463" s="3"/>
      <c r="D463" s="3"/>
    </row>
    <row r="464" spans="3:4" ht="15.75" customHeight="1" x14ac:dyDescent="0.25">
      <c r="C464" s="3"/>
      <c r="D464" s="3"/>
    </row>
    <row r="465" spans="3:4" ht="15.75" customHeight="1" x14ac:dyDescent="0.25">
      <c r="C465" s="3"/>
      <c r="D465" s="3"/>
    </row>
    <row r="466" spans="3:4" ht="15.75" customHeight="1" x14ac:dyDescent="0.25">
      <c r="C466" s="3"/>
      <c r="D466" s="3"/>
    </row>
    <row r="467" spans="3:4" ht="15.75" customHeight="1" x14ac:dyDescent="0.25">
      <c r="C467" s="3"/>
      <c r="D467" s="3"/>
    </row>
    <row r="468" spans="3:4" ht="15.75" customHeight="1" x14ac:dyDescent="0.25">
      <c r="C468" s="3"/>
      <c r="D468" s="3"/>
    </row>
    <row r="469" spans="3:4" ht="15.75" customHeight="1" x14ac:dyDescent="0.25">
      <c r="C469" s="3"/>
      <c r="D469" s="3"/>
    </row>
    <row r="470" spans="3:4" ht="15.75" customHeight="1" x14ac:dyDescent="0.25">
      <c r="C470" s="3"/>
      <c r="D470" s="3"/>
    </row>
    <row r="471" spans="3:4" ht="15.75" customHeight="1" x14ac:dyDescent="0.25">
      <c r="C471" s="3"/>
      <c r="D471" s="3"/>
    </row>
    <row r="472" spans="3:4" ht="15.75" customHeight="1" x14ac:dyDescent="0.25">
      <c r="C472" s="3"/>
      <c r="D472" s="3"/>
    </row>
    <row r="473" spans="3:4" ht="15.75" customHeight="1" x14ac:dyDescent="0.25">
      <c r="C473" s="3"/>
      <c r="D473" s="3"/>
    </row>
    <row r="474" spans="3:4" ht="15.75" customHeight="1" x14ac:dyDescent="0.25">
      <c r="C474" s="3"/>
      <c r="D474" s="3"/>
    </row>
    <row r="475" spans="3:4" ht="15.75" customHeight="1" x14ac:dyDescent="0.25">
      <c r="C475" s="3"/>
      <c r="D475" s="3"/>
    </row>
    <row r="476" spans="3:4" ht="15.75" customHeight="1" x14ac:dyDescent="0.25">
      <c r="C476" s="3"/>
      <c r="D476" s="3"/>
    </row>
    <row r="477" spans="3:4" ht="15.75" customHeight="1" x14ac:dyDescent="0.25">
      <c r="C477" s="3"/>
      <c r="D477" s="3"/>
    </row>
    <row r="478" spans="3:4" ht="15.75" customHeight="1" x14ac:dyDescent="0.25">
      <c r="C478" s="3"/>
      <c r="D478" s="3"/>
    </row>
    <row r="479" spans="3:4" ht="15.75" customHeight="1" x14ac:dyDescent="0.25">
      <c r="C479" s="3"/>
      <c r="D479" s="3"/>
    </row>
    <row r="480" spans="3:4" ht="15.75" customHeight="1" x14ac:dyDescent="0.25">
      <c r="C480" s="3"/>
      <c r="D480" s="3"/>
    </row>
    <row r="481" spans="3:4" ht="15.75" customHeight="1" x14ac:dyDescent="0.25">
      <c r="C481" s="3"/>
      <c r="D481" s="3"/>
    </row>
    <row r="482" spans="3:4" ht="15.75" customHeight="1" x14ac:dyDescent="0.25">
      <c r="C482" s="3"/>
      <c r="D482" s="3"/>
    </row>
    <row r="483" spans="3:4" ht="15.75" customHeight="1" x14ac:dyDescent="0.25">
      <c r="C483" s="3"/>
      <c r="D483" s="3"/>
    </row>
    <row r="484" spans="3:4" ht="15.75" customHeight="1" x14ac:dyDescent="0.25">
      <c r="C484" s="3"/>
      <c r="D484" s="3"/>
    </row>
    <row r="485" spans="3:4" ht="15.75" customHeight="1" x14ac:dyDescent="0.25">
      <c r="C485" s="3"/>
      <c r="D485" s="3"/>
    </row>
    <row r="486" spans="3:4" ht="15.75" customHeight="1" x14ac:dyDescent="0.25">
      <c r="C486" s="3"/>
      <c r="D486" s="3"/>
    </row>
    <row r="487" spans="3:4" ht="15.75" customHeight="1" x14ac:dyDescent="0.25">
      <c r="C487" s="3"/>
      <c r="D487" s="3"/>
    </row>
    <row r="488" spans="3:4" ht="15.75" customHeight="1" x14ac:dyDescent="0.25">
      <c r="C488" s="3"/>
      <c r="D488" s="3"/>
    </row>
    <row r="489" spans="3:4" ht="15.75" customHeight="1" x14ac:dyDescent="0.25">
      <c r="C489" s="3"/>
      <c r="D489" s="3"/>
    </row>
    <row r="490" spans="3:4" ht="15.75" customHeight="1" x14ac:dyDescent="0.25">
      <c r="C490" s="3"/>
      <c r="D490" s="3"/>
    </row>
    <row r="491" spans="3:4" ht="15.75" customHeight="1" x14ac:dyDescent="0.25">
      <c r="C491" s="3"/>
      <c r="D491" s="3"/>
    </row>
    <row r="492" spans="3:4" ht="15.75" customHeight="1" x14ac:dyDescent="0.25">
      <c r="C492" s="3"/>
      <c r="D492" s="3"/>
    </row>
    <row r="493" spans="3:4" ht="15.75" customHeight="1" x14ac:dyDescent="0.25">
      <c r="C493" s="3"/>
      <c r="D493" s="3"/>
    </row>
    <row r="494" spans="3:4" ht="15.75" customHeight="1" x14ac:dyDescent="0.25">
      <c r="C494" s="3"/>
      <c r="D494" s="3"/>
    </row>
    <row r="495" spans="3:4" ht="15.75" customHeight="1" x14ac:dyDescent="0.25">
      <c r="C495" s="3"/>
      <c r="D495" s="3"/>
    </row>
    <row r="496" spans="3:4" ht="15.75" customHeight="1" x14ac:dyDescent="0.25">
      <c r="C496" s="3"/>
      <c r="D496" s="3"/>
    </row>
    <row r="497" spans="3:4" ht="15.75" customHeight="1" x14ac:dyDescent="0.25">
      <c r="C497" s="3"/>
      <c r="D497" s="3"/>
    </row>
    <row r="498" spans="3:4" ht="15.75" customHeight="1" x14ac:dyDescent="0.25">
      <c r="C498" s="3"/>
      <c r="D498" s="3"/>
    </row>
    <row r="499" spans="3:4" ht="15.75" customHeight="1" x14ac:dyDescent="0.25">
      <c r="C499" s="3"/>
      <c r="D499" s="3"/>
    </row>
    <row r="500" spans="3:4" ht="15.75" customHeight="1" x14ac:dyDescent="0.25">
      <c r="C500" s="3"/>
      <c r="D500" s="3"/>
    </row>
    <row r="501" spans="3:4" ht="15.75" customHeight="1" x14ac:dyDescent="0.25">
      <c r="C501" s="3"/>
      <c r="D501" s="3"/>
    </row>
    <row r="502" spans="3:4" ht="15.75" customHeight="1" x14ac:dyDescent="0.25">
      <c r="C502" s="3"/>
      <c r="D502" s="3"/>
    </row>
    <row r="503" spans="3:4" ht="15.75" customHeight="1" x14ac:dyDescent="0.25">
      <c r="C503" s="3"/>
      <c r="D503" s="3"/>
    </row>
    <row r="504" spans="3:4" ht="15.75" customHeight="1" x14ac:dyDescent="0.25">
      <c r="C504" s="3"/>
      <c r="D504" s="3"/>
    </row>
    <row r="505" spans="3:4" ht="15.75" customHeight="1" x14ac:dyDescent="0.25">
      <c r="C505" s="3"/>
      <c r="D505" s="3"/>
    </row>
    <row r="506" spans="3:4" ht="15.75" customHeight="1" x14ac:dyDescent="0.25">
      <c r="C506" s="3"/>
      <c r="D506" s="3"/>
    </row>
    <row r="507" spans="3:4" ht="15.75" customHeight="1" x14ac:dyDescent="0.25">
      <c r="C507" s="3"/>
      <c r="D507" s="3"/>
    </row>
    <row r="508" spans="3:4" ht="15.75" customHeight="1" x14ac:dyDescent="0.25">
      <c r="C508" s="3"/>
      <c r="D508" s="3"/>
    </row>
    <row r="509" spans="3:4" ht="15.75" customHeight="1" x14ac:dyDescent="0.25">
      <c r="C509" s="3"/>
      <c r="D509" s="3"/>
    </row>
    <row r="510" spans="3:4" ht="15.75" customHeight="1" x14ac:dyDescent="0.25">
      <c r="C510" s="3"/>
      <c r="D510" s="3"/>
    </row>
    <row r="511" spans="3:4" ht="15.75" customHeight="1" x14ac:dyDescent="0.25">
      <c r="C511" s="3"/>
      <c r="D511" s="3"/>
    </row>
    <row r="512" spans="3:4" ht="15.75" customHeight="1" x14ac:dyDescent="0.25">
      <c r="C512" s="3"/>
      <c r="D512" s="3"/>
    </row>
    <row r="513" spans="3:4" ht="15.75" customHeight="1" x14ac:dyDescent="0.25">
      <c r="C513" s="3"/>
      <c r="D513" s="3"/>
    </row>
    <row r="514" spans="3:4" ht="15.75" customHeight="1" x14ac:dyDescent="0.25">
      <c r="C514" s="3"/>
      <c r="D514" s="3"/>
    </row>
    <row r="515" spans="3:4" ht="15.75" customHeight="1" x14ac:dyDescent="0.25">
      <c r="C515" s="3"/>
      <c r="D515" s="3"/>
    </row>
    <row r="516" spans="3:4" ht="15.75" customHeight="1" x14ac:dyDescent="0.25">
      <c r="C516" s="3"/>
      <c r="D516" s="3"/>
    </row>
    <row r="517" spans="3:4" ht="15.75" customHeight="1" x14ac:dyDescent="0.25">
      <c r="C517" s="3"/>
      <c r="D517" s="3"/>
    </row>
    <row r="518" spans="3:4" ht="15.75" customHeight="1" x14ac:dyDescent="0.25">
      <c r="C518" s="3"/>
      <c r="D518" s="3"/>
    </row>
    <row r="519" spans="3:4" ht="15.75" customHeight="1" x14ac:dyDescent="0.25">
      <c r="C519" s="3"/>
      <c r="D519" s="3"/>
    </row>
    <row r="520" spans="3:4" ht="15.75" customHeight="1" x14ac:dyDescent="0.25">
      <c r="C520" s="3"/>
      <c r="D520" s="3"/>
    </row>
    <row r="521" spans="3:4" ht="15.75" customHeight="1" x14ac:dyDescent="0.25">
      <c r="C521" s="3"/>
      <c r="D521" s="3"/>
    </row>
    <row r="522" spans="3:4" ht="15.75" customHeight="1" x14ac:dyDescent="0.25">
      <c r="C522" s="3"/>
      <c r="D522" s="3"/>
    </row>
    <row r="523" spans="3:4" ht="15.75" customHeight="1" x14ac:dyDescent="0.25">
      <c r="C523" s="3"/>
      <c r="D523" s="3"/>
    </row>
    <row r="524" spans="3:4" ht="15.75" customHeight="1" x14ac:dyDescent="0.25">
      <c r="C524" s="3"/>
      <c r="D524" s="3"/>
    </row>
    <row r="525" spans="3:4" ht="15.75" customHeight="1" x14ac:dyDescent="0.25">
      <c r="C525" s="3"/>
      <c r="D525" s="3"/>
    </row>
    <row r="526" spans="3:4" ht="15.75" customHeight="1" x14ac:dyDescent="0.25">
      <c r="C526" s="3"/>
      <c r="D526" s="3"/>
    </row>
    <row r="527" spans="3:4" ht="15.75" customHeight="1" x14ac:dyDescent="0.25">
      <c r="C527" s="3"/>
      <c r="D527" s="3"/>
    </row>
    <row r="528" spans="3:4" ht="15.75" customHeight="1" x14ac:dyDescent="0.25">
      <c r="C528" s="3"/>
      <c r="D528" s="3"/>
    </row>
    <row r="529" spans="3:4" ht="15.75" customHeight="1" x14ac:dyDescent="0.25">
      <c r="C529" s="3"/>
      <c r="D529" s="3"/>
    </row>
    <row r="530" spans="3:4" ht="15.75" customHeight="1" x14ac:dyDescent="0.25">
      <c r="C530" s="3"/>
      <c r="D530" s="3"/>
    </row>
    <row r="531" spans="3:4" ht="15.75" customHeight="1" x14ac:dyDescent="0.25">
      <c r="C531" s="3"/>
      <c r="D531" s="3"/>
    </row>
    <row r="532" spans="3:4" ht="15.75" customHeight="1" x14ac:dyDescent="0.25">
      <c r="C532" s="3"/>
      <c r="D532" s="3"/>
    </row>
    <row r="533" spans="3:4" ht="15.75" customHeight="1" x14ac:dyDescent="0.25">
      <c r="C533" s="3"/>
      <c r="D533" s="3"/>
    </row>
    <row r="534" spans="3:4" ht="15.75" customHeight="1" x14ac:dyDescent="0.25">
      <c r="C534" s="3"/>
      <c r="D534" s="3"/>
    </row>
    <row r="535" spans="3:4" ht="15.75" customHeight="1" x14ac:dyDescent="0.25">
      <c r="C535" s="3"/>
      <c r="D535" s="3"/>
    </row>
    <row r="536" spans="3:4" ht="15.75" customHeight="1" x14ac:dyDescent="0.25">
      <c r="C536" s="3"/>
      <c r="D536" s="3"/>
    </row>
    <row r="537" spans="3:4" ht="15.75" customHeight="1" x14ac:dyDescent="0.25">
      <c r="C537" s="3"/>
      <c r="D537" s="3"/>
    </row>
    <row r="538" spans="3:4" ht="15.75" customHeight="1" x14ac:dyDescent="0.25">
      <c r="C538" s="3"/>
      <c r="D538" s="3"/>
    </row>
    <row r="539" spans="3:4" ht="15.75" customHeight="1" x14ac:dyDescent="0.25">
      <c r="C539" s="3"/>
      <c r="D539" s="3"/>
    </row>
    <row r="540" spans="3:4" ht="15.75" customHeight="1" x14ac:dyDescent="0.25">
      <c r="C540" s="3"/>
      <c r="D540" s="3"/>
    </row>
    <row r="541" spans="3:4" ht="15.75" customHeight="1" x14ac:dyDescent="0.25">
      <c r="C541" s="3"/>
      <c r="D541" s="3"/>
    </row>
    <row r="542" spans="3:4" ht="15.75" customHeight="1" x14ac:dyDescent="0.25">
      <c r="C542" s="3"/>
      <c r="D542" s="3"/>
    </row>
    <row r="543" spans="3:4" ht="15.75" customHeight="1" x14ac:dyDescent="0.25">
      <c r="C543" s="3"/>
      <c r="D543" s="3"/>
    </row>
    <row r="544" spans="3:4" ht="15.75" customHeight="1" x14ac:dyDescent="0.25">
      <c r="C544" s="3"/>
      <c r="D544" s="3"/>
    </row>
    <row r="545" spans="3:4" ht="15.75" customHeight="1" x14ac:dyDescent="0.25">
      <c r="C545" s="3"/>
      <c r="D545" s="3"/>
    </row>
    <row r="546" spans="3:4" ht="15.75" customHeight="1" x14ac:dyDescent="0.25">
      <c r="C546" s="3"/>
      <c r="D546" s="3"/>
    </row>
    <row r="547" spans="3:4" ht="15.75" customHeight="1" x14ac:dyDescent="0.25">
      <c r="C547" s="3"/>
      <c r="D547" s="3"/>
    </row>
    <row r="548" spans="3:4" ht="15.75" customHeight="1" x14ac:dyDescent="0.25">
      <c r="C548" s="3"/>
      <c r="D548" s="3"/>
    </row>
    <row r="549" spans="3:4" ht="15.75" customHeight="1" x14ac:dyDescent="0.25">
      <c r="C549" s="3"/>
      <c r="D549" s="3"/>
    </row>
    <row r="550" spans="3:4" ht="15.75" customHeight="1" x14ac:dyDescent="0.25">
      <c r="C550" s="3"/>
      <c r="D550" s="3"/>
    </row>
    <row r="551" spans="3:4" ht="15.75" customHeight="1" x14ac:dyDescent="0.25">
      <c r="C551" s="3"/>
      <c r="D551" s="3"/>
    </row>
    <row r="552" spans="3:4" ht="15.75" customHeight="1" x14ac:dyDescent="0.25">
      <c r="C552" s="3"/>
      <c r="D552" s="3"/>
    </row>
    <row r="553" spans="3:4" ht="15.75" customHeight="1" x14ac:dyDescent="0.25">
      <c r="C553" s="3"/>
      <c r="D553" s="3"/>
    </row>
    <row r="554" spans="3:4" ht="15.75" customHeight="1" x14ac:dyDescent="0.25">
      <c r="C554" s="3"/>
      <c r="D554" s="3"/>
    </row>
    <row r="555" spans="3:4" ht="15.75" customHeight="1" x14ac:dyDescent="0.25">
      <c r="C555" s="3"/>
      <c r="D555" s="3"/>
    </row>
    <row r="556" spans="3:4" ht="15.75" customHeight="1" x14ac:dyDescent="0.25">
      <c r="C556" s="3"/>
      <c r="D556" s="3"/>
    </row>
    <row r="557" spans="3:4" ht="15.75" customHeight="1" x14ac:dyDescent="0.25">
      <c r="C557" s="3"/>
      <c r="D557" s="3"/>
    </row>
    <row r="558" spans="3:4" ht="15.75" customHeight="1" x14ac:dyDescent="0.25">
      <c r="C558" s="3"/>
      <c r="D558" s="3"/>
    </row>
    <row r="559" spans="3:4" ht="15.75" customHeight="1" x14ac:dyDescent="0.25">
      <c r="C559" s="3"/>
      <c r="D559" s="3"/>
    </row>
    <row r="560" spans="3:4" ht="15.75" customHeight="1" x14ac:dyDescent="0.25">
      <c r="C560" s="3"/>
      <c r="D560" s="3"/>
    </row>
    <row r="561" spans="3:4" ht="15.75" customHeight="1" x14ac:dyDescent="0.25">
      <c r="C561" s="3"/>
      <c r="D561" s="3"/>
    </row>
    <row r="562" spans="3:4" ht="15.75" customHeight="1" x14ac:dyDescent="0.25">
      <c r="C562" s="3"/>
      <c r="D562" s="3"/>
    </row>
    <row r="563" spans="3:4" ht="15.75" customHeight="1" x14ac:dyDescent="0.25">
      <c r="C563" s="3"/>
      <c r="D563" s="3"/>
    </row>
    <row r="564" spans="3:4" ht="15.75" customHeight="1" x14ac:dyDescent="0.25">
      <c r="C564" s="3"/>
      <c r="D564" s="3"/>
    </row>
    <row r="565" spans="3:4" ht="15.75" customHeight="1" x14ac:dyDescent="0.25">
      <c r="C565" s="3"/>
      <c r="D565" s="3"/>
    </row>
    <row r="566" spans="3:4" ht="15.75" customHeight="1" x14ac:dyDescent="0.25">
      <c r="C566" s="3"/>
      <c r="D566" s="3"/>
    </row>
    <row r="567" spans="3:4" ht="15.75" customHeight="1" x14ac:dyDescent="0.25">
      <c r="C567" s="3"/>
      <c r="D567" s="3"/>
    </row>
    <row r="568" spans="3:4" ht="15.75" customHeight="1" x14ac:dyDescent="0.25">
      <c r="C568" s="3"/>
      <c r="D568" s="3"/>
    </row>
    <row r="569" spans="3:4" ht="15.75" customHeight="1" x14ac:dyDescent="0.25">
      <c r="C569" s="3"/>
      <c r="D569" s="3"/>
    </row>
    <row r="570" spans="3:4" ht="15.75" customHeight="1" x14ac:dyDescent="0.25">
      <c r="C570" s="3"/>
      <c r="D570" s="3"/>
    </row>
    <row r="571" spans="3:4" ht="15.75" customHeight="1" x14ac:dyDescent="0.25">
      <c r="C571" s="3"/>
      <c r="D571" s="3"/>
    </row>
    <row r="572" spans="3:4" ht="15.75" customHeight="1" x14ac:dyDescent="0.25">
      <c r="C572" s="3"/>
      <c r="D572" s="3"/>
    </row>
    <row r="573" spans="3:4" ht="15.75" customHeight="1" x14ac:dyDescent="0.25">
      <c r="C573" s="3"/>
      <c r="D573" s="3"/>
    </row>
    <row r="574" spans="3:4" ht="15.75" customHeight="1" x14ac:dyDescent="0.25">
      <c r="C574" s="3"/>
      <c r="D574" s="3"/>
    </row>
    <row r="575" spans="3:4" ht="15.75" customHeight="1" x14ac:dyDescent="0.25">
      <c r="C575" s="3"/>
      <c r="D575" s="3"/>
    </row>
    <row r="576" spans="3:4" ht="15.75" customHeight="1" x14ac:dyDescent="0.25">
      <c r="C576" s="3"/>
      <c r="D576" s="3"/>
    </row>
    <row r="577" spans="3:4" ht="15.75" customHeight="1" x14ac:dyDescent="0.25">
      <c r="C577" s="3"/>
      <c r="D577" s="3"/>
    </row>
    <row r="578" spans="3:4" ht="15.75" customHeight="1" x14ac:dyDescent="0.25">
      <c r="C578" s="3"/>
      <c r="D578" s="3"/>
    </row>
    <row r="579" spans="3:4" ht="15.75" customHeight="1" x14ac:dyDescent="0.25">
      <c r="C579" s="3"/>
      <c r="D579" s="3"/>
    </row>
    <row r="580" spans="3:4" ht="15.75" customHeight="1" x14ac:dyDescent="0.25">
      <c r="C580" s="3"/>
      <c r="D580" s="3"/>
    </row>
    <row r="581" spans="3:4" ht="15.75" customHeight="1" x14ac:dyDescent="0.25">
      <c r="C581" s="3"/>
      <c r="D581" s="3"/>
    </row>
    <row r="582" spans="3:4" ht="15.75" customHeight="1" x14ac:dyDescent="0.25">
      <c r="C582" s="3"/>
      <c r="D582" s="3"/>
    </row>
    <row r="583" spans="3:4" ht="15.75" customHeight="1" x14ac:dyDescent="0.25">
      <c r="C583" s="3"/>
      <c r="D583" s="3"/>
    </row>
    <row r="584" spans="3:4" ht="15.75" customHeight="1" x14ac:dyDescent="0.25">
      <c r="C584" s="3"/>
      <c r="D584" s="3"/>
    </row>
    <row r="585" spans="3:4" ht="15.75" customHeight="1" x14ac:dyDescent="0.25">
      <c r="C585" s="3"/>
      <c r="D585" s="3"/>
    </row>
    <row r="586" spans="3:4" ht="15.75" customHeight="1" x14ac:dyDescent="0.25">
      <c r="C586" s="3"/>
      <c r="D586" s="3"/>
    </row>
    <row r="587" spans="3:4" ht="15.75" customHeight="1" x14ac:dyDescent="0.25">
      <c r="C587" s="3"/>
      <c r="D587" s="3"/>
    </row>
    <row r="588" spans="3:4" ht="15.75" customHeight="1" x14ac:dyDescent="0.25">
      <c r="C588" s="3"/>
      <c r="D588" s="3"/>
    </row>
    <row r="589" spans="3:4" ht="15.75" customHeight="1" x14ac:dyDescent="0.25">
      <c r="C589" s="3"/>
      <c r="D589" s="3"/>
    </row>
    <row r="590" spans="3:4" ht="15.75" customHeight="1" x14ac:dyDescent="0.25">
      <c r="C590" s="3"/>
      <c r="D590" s="3"/>
    </row>
    <row r="591" spans="3:4" ht="15.75" customHeight="1" x14ac:dyDescent="0.25">
      <c r="C591" s="3"/>
      <c r="D591" s="3"/>
    </row>
    <row r="592" spans="3:4" ht="15.75" customHeight="1" x14ac:dyDescent="0.25">
      <c r="C592" s="3"/>
      <c r="D592" s="3"/>
    </row>
    <row r="593" spans="3:4" ht="15.75" customHeight="1" x14ac:dyDescent="0.25">
      <c r="C593" s="3"/>
      <c r="D593" s="3"/>
    </row>
    <row r="594" spans="3:4" ht="15.75" customHeight="1" x14ac:dyDescent="0.25">
      <c r="C594" s="3"/>
      <c r="D594" s="3"/>
    </row>
    <row r="595" spans="3:4" ht="15.75" customHeight="1" x14ac:dyDescent="0.25">
      <c r="C595" s="3"/>
      <c r="D595" s="3"/>
    </row>
    <row r="596" spans="3:4" ht="15.75" customHeight="1" x14ac:dyDescent="0.25">
      <c r="C596" s="3"/>
      <c r="D596" s="3"/>
    </row>
    <row r="597" spans="3:4" ht="15.75" customHeight="1" x14ac:dyDescent="0.25">
      <c r="C597" s="3"/>
      <c r="D597" s="3"/>
    </row>
    <row r="598" spans="3:4" ht="15.75" customHeight="1" x14ac:dyDescent="0.25">
      <c r="C598" s="3"/>
      <c r="D598" s="3"/>
    </row>
    <row r="599" spans="3:4" ht="15.75" customHeight="1" x14ac:dyDescent="0.25">
      <c r="C599" s="3"/>
      <c r="D599" s="3"/>
    </row>
    <row r="600" spans="3:4" ht="15.75" customHeight="1" x14ac:dyDescent="0.25">
      <c r="C600" s="3"/>
      <c r="D600" s="3"/>
    </row>
    <row r="601" spans="3:4" ht="15.75" customHeight="1" x14ac:dyDescent="0.25">
      <c r="C601" s="3"/>
      <c r="D601" s="3"/>
    </row>
    <row r="602" spans="3:4" ht="15.75" customHeight="1" x14ac:dyDescent="0.25">
      <c r="C602" s="3"/>
      <c r="D602" s="3"/>
    </row>
    <row r="603" spans="3:4" ht="15.75" customHeight="1" x14ac:dyDescent="0.25">
      <c r="C603" s="3"/>
      <c r="D603" s="3"/>
    </row>
    <row r="604" spans="3:4" ht="15.75" customHeight="1" x14ac:dyDescent="0.25">
      <c r="C604" s="3"/>
      <c r="D604" s="3"/>
    </row>
    <row r="605" spans="3:4" ht="15.75" customHeight="1" x14ac:dyDescent="0.25">
      <c r="C605" s="3"/>
      <c r="D605" s="3"/>
    </row>
    <row r="606" spans="3:4" ht="15.75" customHeight="1" x14ac:dyDescent="0.25">
      <c r="C606" s="3"/>
      <c r="D606" s="3"/>
    </row>
    <row r="607" spans="3:4" ht="15.75" customHeight="1" x14ac:dyDescent="0.25">
      <c r="C607" s="3"/>
      <c r="D607" s="3"/>
    </row>
    <row r="608" spans="3:4" ht="15.75" customHeight="1" x14ac:dyDescent="0.25">
      <c r="C608" s="3"/>
      <c r="D608" s="3"/>
    </row>
    <row r="609" spans="3:4" ht="15.75" customHeight="1" x14ac:dyDescent="0.25">
      <c r="C609" s="3"/>
      <c r="D609" s="3"/>
    </row>
    <row r="610" spans="3:4" ht="15.75" customHeight="1" x14ac:dyDescent="0.25">
      <c r="C610" s="3"/>
      <c r="D610" s="3"/>
    </row>
    <row r="611" spans="3:4" ht="15.75" customHeight="1" x14ac:dyDescent="0.25">
      <c r="C611" s="3"/>
      <c r="D611" s="3"/>
    </row>
    <row r="612" spans="3:4" ht="15.75" customHeight="1" x14ac:dyDescent="0.25">
      <c r="C612" s="3"/>
      <c r="D612" s="3"/>
    </row>
    <row r="613" spans="3:4" ht="15.75" customHeight="1" x14ac:dyDescent="0.25">
      <c r="C613" s="3"/>
      <c r="D613" s="3"/>
    </row>
    <row r="614" spans="3:4" ht="15.75" customHeight="1" x14ac:dyDescent="0.25">
      <c r="C614" s="3"/>
      <c r="D614" s="3"/>
    </row>
    <row r="615" spans="3:4" ht="15.75" customHeight="1" x14ac:dyDescent="0.25">
      <c r="C615" s="3"/>
      <c r="D615" s="3"/>
    </row>
    <row r="616" spans="3:4" ht="15.75" customHeight="1" x14ac:dyDescent="0.25">
      <c r="C616" s="3"/>
      <c r="D616" s="3"/>
    </row>
    <row r="617" spans="3:4" ht="15.75" customHeight="1" x14ac:dyDescent="0.25">
      <c r="C617" s="3"/>
      <c r="D617" s="3"/>
    </row>
    <row r="618" spans="3:4" ht="15.75" customHeight="1" x14ac:dyDescent="0.25">
      <c r="C618" s="3"/>
      <c r="D618" s="3"/>
    </row>
    <row r="619" spans="3:4" ht="15.75" customHeight="1" x14ac:dyDescent="0.25">
      <c r="C619" s="3"/>
      <c r="D619" s="3"/>
    </row>
    <row r="620" spans="3:4" ht="15.75" customHeight="1" x14ac:dyDescent="0.25">
      <c r="C620" s="3"/>
      <c r="D620" s="3"/>
    </row>
    <row r="621" spans="3:4" ht="15.75" customHeight="1" x14ac:dyDescent="0.25">
      <c r="C621" s="3"/>
      <c r="D621" s="3"/>
    </row>
    <row r="622" spans="3:4" ht="15.75" customHeight="1" x14ac:dyDescent="0.25">
      <c r="C622" s="3"/>
      <c r="D622" s="3"/>
    </row>
    <row r="623" spans="3:4" ht="15.75" customHeight="1" x14ac:dyDescent="0.25">
      <c r="C623" s="3"/>
      <c r="D623" s="3"/>
    </row>
    <row r="624" spans="3:4" ht="15.75" customHeight="1" x14ac:dyDescent="0.25">
      <c r="C624" s="3"/>
      <c r="D624" s="3"/>
    </row>
    <row r="625" spans="3:4" ht="15.75" customHeight="1" x14ac:dyDescent="0.25">
      <c r="C625" s="3"/>
      <c r="D625" s="3"/>
    </row>
    <row r="626" spans="3:4" ht="15.75" customHeight="1" x14ac:dyDescent="0.25">
      <c r="C626" s="3"/>
      <c r="D626" s="3"/>
    </row>
    <row r="627" spans="3:4" ht="15.75" customHeight="1" x14ac:dyDescent="0.25">
      <c r="C627" s="3"/>
      <c r="D627" s="3"/>
    </row>
    <row r="628" spans="3:4" ht="15.75" customHeight="1" x14ac:dyDescent="0.25">
      <c r="C628" s="3"/>
      <c r="D628" s="3"/>
    </row>
    <row r="629" spans="3:4" ht="15.75" customHeight="1" x14ac:dyDescent="0.25">
      <c r="C629" s="3"/>
      <c r="D629" s="3"/>
    </row>
    <row r="630" spans="3:4" ht="15.75" customHeight="1" x14ac:dyDescent="0.25">
      <c r="C630" s="3"/>
      <c r="D630" s="3"/>
    </row>
    <row r="631" spans="3:4" ht="15.75" customHeight="1" x14ac:dyDescent="0.25">
      <c r="C631" s="3"/>
      <c r="D631" s="3"/>
    </row>
    <row r="632" spans="3:4" ht="15.75" customHeight="1" x14ac:dyDescent="0.25">
      <c r="C632" s="3"/>
      <c r="D632" s="3"/>
    </row>
    <row r="633" spans="3:4" ht="15.75" customHeight="1" x14ac:dyDescent="0.25">
      <c r="C633" s="3"/>
      <c r="D633" s="3"/>
    </row>
    <row r="634" spans="3:4" ht="15.75" customHeight="1" x14ac:dyDescent="0.25">
      <c r="C634" s="3"/>
      <c r="D634" s="3"/>
    </row>
    <row r="635" spans="3:4" ht="15.75" customHeight="1" x14ac:dyDescent="0.25">
      <c r="C635" s="3"/>
      <c r="D635" s="3"/>
    </row>
    <row r="636" spans="3:4" ht="15.75" customHeight="1" x14ac:dyDescent="0.25">
      <c r="C636" s="3"/>
      <c r="D636" s="3"/>
    </row>
    <row r="637" spans="3:4" ht="15.75" customHeight="1" x14ac:dyDescent="0.25">
      <c r="C637" s="3"/>
      <c r="D637" s="3"/>
    </row>
    <row r="638" spans="3:4" ht="15.75" customHeight="1" x14ac:dyDescent="0.25">
      <c r="C638" s="3"/>
      <c r="D638" s="3"/>
    </row>
    <row r="639" spans="3:4" ht="15.75" customHeight="1" x14ac:dyDescent="0.25">
      <c r="C639" s="3"/>
      <c r="D639" s="3"/>
    </row>
    <row r="640" spans="3:4" ht="15.75" customHeight="1" x14ac:dyDescent="0.25">
      <c r="C640" s="3"/>
      <c r="D640" s="3"/>
    </row>
    <row r="641" spans="3:4" ht="15.75" customHeight="1" x14ac:dyDescent="0.25">
      <c r="C641" s="3"/>
      <c r="D641" s="3"/>
    </row>
    <row r="642" spans="3:4" ht="15.75" customHeight="1" x14ac:dyDescent="0.25">
      <c r="C642" s="3"/>
      <c r="D642" s="3"/>
    </row>
    <row r="643" spans="3:4" ht="15.75" customHeight="1" x14ac:dyDescent="0.25">
      <c r="C643" s="3"/>
      <c r="D643" s="3"/>
    </row>
    <row r="644" spans="3:4" ht="15.75" customHeight="1" x14ac:dyDescent="0.25">
      <c r="C644" s="3"/>
      <c r="D644" s="3"/>
    </row>
    <row r="645" spans="3:4" ht="15.75" customHeight="1" x14ac:dyDescent="0.25">
      <c r="C645" s="3"/>
      <c r="D645" s="3"/>
    </row>
    <row r="646" spans="3:4" ht="15.75" customHeight="1" x14ac:dyDescent="0.25">
      <c r="C646" s="3"/>
      <c r="D646" s="3"/>
    </row>
    <row r="647" spans="3:4" ht="15.75" customHeight="1" x14ac:dyDescent="0.25">
      <c r="C647" s="3"/>
      <c r="D647" s="3"/>
    </row>
    <row r="648" spans="3:4" ht="15.75" customHeight="1" x14ac:dyDescent="0.25">
      <c r="C648" s="3"/>
      <c r="D648" s="3"/>
    </row>
    <row r="649" spans="3:4" ht="15.75" customHeight="1" x14ac:dyDescent="0.25">
      <c r="C649" s="3"/>
      <c r="D649" s="3"/>
    </row>
    <row r="650" spans="3:4" ht="15.75" customHeight="1" x14ac:dyDescent="0.25">
      <c r="C650" s="3"/>
      <c r="D650" s="3"/>
    </row>
    <row r="651" spans="3:4" ht="15.75" customHeight="1" x14ac:dyDescent="0.25">
      <c r="C651" s="3"/>
      <c r="D651" s="3"/>
    </row>
    <row r="652" spans="3:4" ht="15.75" customHeight="1" x14ac:dyDescent="0.25">
      <c r="C652" s="3"/>
      <c r="D652" s="3"/>
    </row>
    <row r="653" spans="3:4" ht="15.75" customHeight="1" x14ac:dyDescent="0.25">
      <c r="C653" s="3"/>
      <c r="D653" s="3"/>
    </row>
    <row r="654" spans="3:4" ht="15.75" customHeight="1" x14ac:dyDescent="0.25">
      <c r="C654" s="3"/>
      <c r="D654" s="3"/>
    </row>
    <row r="655" spans="3:4" ht="15.75" customHeight="1" x14ac:dyDescent="0.25">
      <c r="C655" s="3"/>
      <c r="D655" s="3"/>
    </row>
    <row r="656" spans="3:4" ht="15.75" customHeight="1" x14ac:dyDescent="0.25">
      <c r="C656" s="3"/>
      <c r="D656" s="3"/>
    </row>
    <row r="657" spans="3:4" ht="15.75" customHeight="1" x14ac:dyDescent="0.25">
      <c r="C657" s="3"/>
      <c r="D657" s="3"/>
    </row>
    <row r="658" spans="3:4" ht="15.75" customHeight="1" x14ac:dyDescent="0.25">
      <c r="C658" s="3"/>
      <c r="D658" s="3"/>
    </row>
    <row r="659" spans="3:4" ht="15.75" customHeight="1" x14ac:dyDescent="0.25">
      <c r="C659" s="3"/>
      <c r="D659" s="3"/>
    </row>
    <row r="660" spans="3:4" ht="15.75" customHeight="1" x14ac:dyDescent="0.25">
      <c r="C660" s="3"/>
      <c r="D660" s="3"/>
    </row>
    <row r="661" spans="3:4" ht="15.75" customHeight="1" x14ac:dyDescent="0.25">
      <c r="C661" s="3"/>
      <c r="D661" s="3"/>
    </row>
    <row r="662" spans="3:4" ht="15.75" customHeight="1" x14ac:dyDescent="0.25">
      <c r="C662" s="3"/>
      <c r="D662" s="3"/>
    </row>
    <row r="663" spans="3:4" ht="15.75" customHeight="1" x14ac:dyDescent="0.25">
      <c r="C663" s="3"/>
      <c r="D663" s="3"/>
    </row>
    <row r="664" spans="3:4" ht="15.75" customHeight="1" x14ac:dyDescent="0.25">
      <c r="C664" s="3"/>
      <c r="D664" s="3"/>
    </row>
    <row r="665" spans="3:4" ht="15.75" customHeight="1" x14ac:dyDescent="0.25">
      <c r="C665" s="3"/>
      <c r="D665" s="3"/>
    </row>
    <row r="666" spans="3:4" ht="15.75" customHeight="1" x14ac:dyDescent="0.25">
      <c r="C666" s="3"/>
      <c r="D666" s="3"/>
    </row>
    <row r="667" spans="3:4" ht="15.75" customHeight="1" x14ac:dyDescent="0.25">
      <c r="C667" s="3"/>
      <c r="D667" s="3"/>
    </row>
    <row r="668" spans="3:4" ht="15.75" customHeight="1" x14ac:dyDescent="0.25">
      <c r="C668" s="3"/>
      <c r="D668" s="3"/>
    </row>
    <row r="669" spans="3:4" ht="15.75" customHeight="1" x14ac:dyDescent="0.25">
      <c r="C669" s="3"/>
      <c r="D669" s="3"/>
    </row>
    <row r="670" spans="3:4" ht="15.75" customHeight="1" x14ac:dyDescent="0.25">
      <c r="C670" s="3"/>
      <c r="D670" s="3"/>
    </row>
    <row r="671" spans="3:4" ht="15.75" customHeight="1" x14ac:dyDescent="0.25">
      <c r="C671" s="3"/>
      <c r="D671" s="3"/>
    </row>
    <row r="672" spans="3:4" ht="15.75" customHeight="1" x14ac:dyDescent="0.25">
      <c r="C672" s="3"/>
      <c r="D672" s="3"/>
    </row>
    <row r="673" spans="3:4" ht="15.75" customHeight="1" x14ac:dyDescent="0.25">
      <c r="C673" s="3"/>
      <c r="D673" s="3"/>
    </row>
    <row r="674" spans="3:4" ht="15.75" customHeight="1" x14ac:dyDescent="0.25">
      <c r="C674" s="3"/>
      <c r="D674" s="3"/>
    </row>
    <row r="675" spans="3:4" ht="15.75" customHeight="1" x14ac:dyDescent="0.25">
      <c r="C675" s="3"/>
      <c r="D675" s="3"/>
    </row>
    <row r="676" spans="3:4" ht="15.75" customHeight="1" x14ac:dyDescent="0.25">
      <c r="C676" s="3"/>
      <c r="D676" s="3"/>
    </row>
    <row r="677" spans="3:4" ht="15.75" customHeight="1" x14ac:dyDescent="0.25">
      <c r="C677" s="3"/>
      <c r="D677" s="3"/>
    </row>
    <row r="678" spans="3:4" ht="15.75" customHeight="1" x14ac:dyDescent="0.25">
      <c r="C678" s="3"/>
      <c r="D678" s="3"/>
    </row>
    <row r="679" spans="3:4" ht="15.75" customHeight="1" x14ac:dyDescent="0.25">
      <c r="C679" s="3"/>
      <c r="D679" s="3"/>
    </row>
    <row r="680" spans="3:4" ht="15.75" customHeight="1" x14ac:dyDescent="0.25">
      <c r="C680" s="3"/>
      <c r="D680" s="3"/>
    </row>
    <row r="681" spans="3:4" ht="15.75" customHeight="1" x14ac:dyDescent="0.25">
      <c r="C681" s="3"/>
      <c r="D681" s="3"/>
    </row>
    <row r="682" spans="3:4" ht="15.75" customHeight="1" x14ac:dyDescent="0.25">
      <c r="C682" s="3"/>
      <c r="D682" s="3"/>
    </row>
    <row r="683" spans="3:4" ht="15.75" customHeight="1" x14ac:dyDescent="0.25">
      <c r="C683" s="3"/>
      <c r="D683" s="3"/>
    </row>
    <row r="684" spans="3:4" ht="15.75" customHeight="1" x14ac:dyDescent="0.25">
      <c r="C684" s="3"/>
      <c r="D684" s="3"/>
    </row>
    <row r="685" spans="3:4" ht="15.75" customHeight="1" x14ac:dyDescent="0.25">
      <c r="C685" s="3"/>
      <c r="D685" s="3"/>
    </row>
    <row r="686" spans="3:4" ht="15.75" customHeight="1" x14ac:dyDescent="0.25">
      <c r="C686" s="3"/>
      <c r="D686" s="3"/>
    </row>
    <row r="687" spans="3:4" ht="15.75" customHeight="1" x14ac:dyDescent="0.25">
      <c r="C687" s="3"/>
      <c r="D687" s="3"/>
    </row>
    <row r="688" spans="3:4" ht="15.75" customHeight="1" x14ac:dyDescent="0.25">
      <c r="C688" s="3"/>
      <c r="D688" s="3"/>
    </row>
    <row r="689" spans="3:4" ht="15.75" customHeight="1" x14ac:dyDescent="0.25">
      <c r="C689" s="3"/>
      <c r="D689" s="3"/>
    </row>
    <row r="690" spans="3:4" ht="15.75" customHeight="1" x14ac:dyDescent="0.25">
      <c r="C690" s="3"/>
      <c r="D690" s="3"/>
    </row>
    <row r="691" spans="3:4" ht="15.75" customHeight="1" x14ac:dyDescent="0.25">
      <c r="C691" s="3"/>
      <c r="D691" s="3"/>
    </row>
    <row r="692" spans="3:4" ht="15.75" customHeight="1" x14ac:dyDescent="0.25">
      <c r="C692" s="3"/>
      <c r="D692" s="3"/>
    </row>
    <row r="693" spans="3:4" ht="15.75" customHeight="1" x14ac:dyDescent="0.25">
      <c r="C693" s="3"/>
      <c r="D693" s="3"/>
    </row>
    <row r="694" spans="3:4" ht="15.75" customHeight="1" x14ac:dyDescent="0.25">
      <c r="C694" s="3"/>
      <c r="D694" s="3"/>
    </row>
    <row r="695" spans="3:4" ht="15.75" customHeight="1" x14ac:dyDescent="0.25">
      <c r="C695" s="3"/>
      <c r="D695" s="3"/>
    </row>
    <row r="696" spans="3:4" ht="15.75" customHeight="1" x14ac:dyDescent="0.25">
      <c r="C696" s="3"/>
      <c r="D696" s="3"/>
    </row>
    <row r="697" spans="3:4" ht="15.75" customHeight="1" x14ac:dyDescent="0.25">
      <c r="C697" s="3"/>
      <c r="D697" s="3"/>
    </row>
    <row r="698" spans="3:4" ht="15.75" customHeight="1" x14ac:dyDescent="0.25">
      <c r="C698" s="3"/>
      <c r="D698" s="3"/>
    </row>
    <row r="699" spans="3:4" ht="15.75" customHeight="1" x14ac:dyDescent="0.25">
      <c r="C699" s="3"/>
      <c r="D699" s="3"/>
    </row>
    <row r="700" spans="3:4" ht="15.75" customHeight="1" x14ac:dyDescent="0.25">
      <c r="C700" s="3"/>
      <c r="D700" s="3"/>
    </row>
    <row r="701" spans="3:4" ht="15.75" customHeight="1" x14ac:dyDescent="0.25">
      <c r="C701" s="3"/>
      <c r="D701" s="3"/>
    </row>
    <row r="702" spans="3:4" ht="15.75" customHeight="1" x14ac:dyDescent="0.25">
      <c r="C702" s="3"/>
      <c r="D702" s="3"/>
    </row>
    <row r="703" spans="3:4" ht="15.75" customHeight="1" x14ac:dyDescent="0.25">
      <c r="C703" s="3"/>
      <c r="D703" s="3"/>
    </row>
    <row r="704" spans="3:4" ht="15.75" customHeight="1" x14ac:dyDescent="0.25">
      <c r="C704" s="3"/>
      <c r="D704" s="3"/>
    </row>
    <row r="705" spans="3:4" ht="15.75" customHeight="1" x14ac:dyDescent="0.25">
      <c r="C705" s="3"/>
      <c r="D705" s="3"/>
    </row>
    <row r="706" spans="3:4" ht="15.75" customHeight="1" x14ac:dyDescent="0.25">
      <c r="C706" s="3"/>
      <c r="D706" s="3"/>
    </row>
    <row r="707" spans="3:4" ht="15.75" customHeight="1" x14ac:dyDescent="0.25">
      <c r="C707" s="3"/>
      <c r="D707" s="3"/>
    </row>
    <row r="708" spans="3:4" ht="15.75" customHeight="1" x14ac:dyDescent="0.25">
      <c r="C708" s="3"/>
      <c r="D708" s="3"/>
    </row>
    <row r="709" spans="3:4" ht="15.75" customHeight="1" x14ac:dyDescent="0.25">
      <c r="C709" s="3"/>
      <c r="D709" s="3"/>
    </row>
    <row r="710" spans="3:4" ht="15.75" customHeight="1" x14ac:dyDescent="0.25">
      <c r="C710" s="3"/>
      <c r="D710" s="3"/>
    </row>
    <row r="711" spans="3:4" ht="15.75" customHeight="1" x14ac:dyDescent="0.25">
      <c r="C711" s="3"/>
      <c r="D711" s="3"/>
    </row>
    <row r="712" spans="3:4" ht="15.75" customHeight="1" x14ac:dyDescent="0.25">
      <c r="C712" s="3"/>
      <c r="D712" s="3"/>
    </row>
    <row r="713" spans="3:4" ht="15.75" customHeight="1" x14ac:dyDescent="0.25">
      <c r="C713" s="3"/>
      <c r="D713" s="3"/>
    </row>
    <row r="714" spans="3:4" ht="15.75" customHeight="1" x14ac:dyDescent="0.25">
      <c r="C714" s="3"/>
      <c r="D714" s="3"/>
    </row>
    <row r="715" spans="3:4" ht="15.75" customHeight="1" x14ac:dyDescent="0.25">
      <c r="C715" s="3"/>
      <c r="D715" s="3"/>
    </row>
    <row r="716" spans="3:4" ht="15.75" customHeight="1" x14ac:dyDescent="0.25">
      <c r="C716" s="3"/>
      <c r="D716" s="3"/>
    </row>
    <row r="717" spans="3:4" ht="15.75" customHeight="1" x14ac:dyDescent="0.25">
      <c r="C717" s="3"/>
      <c r="D717" s="3"/>
    </row>
    <row r="718" spans="3:4" ht="15.75" customHeight="1" x14ac:dyDescent="0.25">
      <c r="C718" s="3"/>
      <c r="D718" s="3"/>
    </row>
    <row r="719" spans="3:4" ht="15.75" customHeight="1" x14ac:dyDescent="0.25">
      <c r="C719" s="3"/>
      <c r="D719" s="3"/>
    </row>
    <row r="720" spans="3:4" ht="15.75" customHeight="1" x14ac:dyDescent="0.25">
      <c r="C720" s="3"/>
      <c r="D720" s="3"/>
    </row>
    <row r="721" spans="3:4" ht="15.75" customHeight="1" x14ac:dyDescent="0.25">
      <c r="C721" s="3"/>
      <c r="D721" s="3"/>
    </row>
    <row r="722" spans="3:4" ht="15.75" customHeight="1" x14ac:dyDescent="0.25">
      <c r="C722" s="3"/>
      <c r="D722" s="3"/>
    </row>
    <row r="723" spans="3:4" ht="15.75" customHeight="1" x14ac:dyDescent="0.25">
      <c r="C723" s="3"/>
      <c r="D723" s="3"/>
    </row>
    <row r="724" spans="3:4" ht="15.75" customHeight="1" x14ac:dyDescent="0.25">
      <c r="C724" s="3"/>
      <c r="D724" s="3"/>
    </row>
    <row r="725" spans="3:4" ht="15.75" customHeight="1" x14ac:dyDescent="0.25">
      <c r="C725" s="3"/>
      <c r="D725" s="3"/>
    </row>
    <row r="726" spans="3:4" ht="15.75" customHeight="1" x14ac:dyDescent="0.25">
      <c r="C726" s="3"/>
      <c r="D726" s="3"/>
    </row>
    <row r="727" spans="3:4" ht="15.75" customHeight="1" x14ac:dyDescent="0.25">
      <c r="C727" s="3"/>
      <c r="D727" s="3"/>
    </row>
    <row r="728" spans="3:4" ht="15.75" customHeight="1" x14ac:dyDescent="0.25">
      <c r="C728" s="3"/>
      <c r="D728" s="3"/>
    </row>
    <row r="729" spans="3:4" ht="15.75" customHeight="1" x14ac:dyDescent="0.25">
      <c r="C729" s="3"/>
      <c r="D729" s="3"/>
    </row>
    <row r="730" spans="3:4" ht="15.75" customHeight="1" x14ac:dyDescent="0.25">
      <c r="C730" s="3"/>
      <c r="D730" s="3"/>
    </row>
    <row r="731" spans="3:4" ht="15.75" customHeight="1" x14ac:dyDescent="0.25">
      <c r="C731" s="3"/>
      <c r="D731" s="3"/>
    </row>
    <row r="732" spans="3:4" ht="15.75" customHeight="1" x14ac:dyDescent="0.25">
      <c r="C732" s="3"/>
      <c r="D732" s="3"/>
    </row>
    <row r="733" spans="3:4" ht="15.75" customHeight="1" x14ac:dyDescent="0.25">
      <c r="C733" s="3"/>
      <c r="D733" s="3"/>
    </row>
    <row r="734" spans="3:4" ht="15.75" customHeight="1" x14ac:dyDescent="0.25">
      <c r="C734" s="3"/>
      <c r="D734" s="3"/>
    </row>
    <row r="735" spans="3:4" ht="15.75" customHeight="1" x14ac:dyDescent="0.25">
      <c r="C735" s="3"/>
      <c r="D735" s="3"/>
    </row>
    <row r="736" spans="3:4" ht="15.75" customHeight="1" x14ac:dyDescent="0.25">
      <c r="C736" s="3"/>
      <c r="D736" s="3"/>
    </row>
    <row r="737" spans="3:4" ht="15.75" customHeight="1" x14ac:dyDescent="0.25">
      <c r="C737" s="3"/>
      <c r="D737" s="3"/>
    </row>
    <row r="738" spans="3:4" ht="15.75" customHeight="1" x14ac:dyDescent="0.25">
      <c r="C738" s="3"/>
      <c r="D738" s="3"/>
    </row>
    <row r="739" spans="3:4" ht="15.75" customHeight="1" x14ac:dyDescent="0.25">
      <c r="C739" s="3"/>
      <c r="D739" s="3"/>
    </row>
    <row r="740" spans="3:4" ht="15.75" customHeight="1" x14ac:dyDescent="0.25">
      <c r="C740" s="3"/>
      <c r="D740" s="3"/>
    </row>
    <row r="741" spans="3:4" ht="15.75" customHeight="1" x14ac:dyDescent="0.25">
      <c r="C741" s="3"/>
      <c r="D741" s="3"/>
    </row>
    <row r="742" spans="3:4" ht="15.75" customHeight="1" x14ac:dyDescent="0.25">
      <c r="C742" s="3"/>
      <c r="D742" s="3"/>
    </row>
    <row r="743" spans="3:4" ht="15.75" customHeight="1" x14ac:dyDescent="0.25">
      <c r="C743" s="3"/>
      <c r="D743" s="3"/>
    </row>
    <row r="744" spans="3:4" ht="15.75" customHeight="1" x14ac:dyDescent="0.25">
      <c r="C744" s="3"/>
      <c r="D744" s="3"/>
    </row>
    <row r="745" spans="3:4" ht="15.75" customHeight="1" x14ac:dyDescent="0.25">
      <c r="C745" s="3"/>
      <c r="D745" s="3"/>
    </row>
    <row r="746" spans="3:4" ht="15.75" customHeight="1" x14ac:dyDescent="0.25">
      <c r="C746" s="3"/>
      <c r="D746" s="3"/>
    </row>
    <row r="747" spans="3:4" ht="15.75" customHeight="1" x14ac:dyDescent="0.25">
      <c r="C747" s="3"/>
      <c r="D747" s="3"/>
    </row>
    <row r="748" spans="3:4" ht="15.75" customHeight="1" x14ac:dyDescent="0.25">
      <c r="C748" s="3"/>
      <c r="D748" s="3"/>
    </row>
    <row r="749" spans="3:4" ht="15.75" customHeight="1" x14ac:dyDescent="0.25">
      <c r="C749" s="3"/>
      <c r="D749" s="3"/>
    </row>
    <row r="750" spans="3:4" ht="15.75" customHeight="1" x14ac:dyDescent="0.25">
      <c r="C750" s="3"/>
      <c r="D750" s="3"/>
    </row>
    <row r="751" spans="3:4" ht="15.75" customHeight="1" x14ac:dyDescent="0.25">
      <c r="C751" s="3"/>
      <c r="D751" s="3"/>
    </row>
    <row r="752" spans="3:4" ht="15.75" customHeight="1" x14ac:dyDescent="0.25">
      <c r="C752" s="3"/>
      <c r="D752" s="3"/>
    </row>
    <row r="753" spans="3:4" ht="15.75" customHeight="1" x14ac:dyDescent="0.25">
      <c r="C753" s="3"/>
      <c r="D753" s="3"/>
    </row>
    <row r="754" spans="3:4" ht="15.75" customHeight="1" x14ac:dyDescent="0.25">
      <c r="C754" s="3"/>
      <c r="D754" s="3"/>
    </row>
    <row r="755" spans="3:4" ht="15.75" customHeight="1" x14ac:dyDescent="0.25">
      <c r="C755" s="3"/>
      <c r="D755" s="3"/>
    </row>
    <row r="756" spans="3:4" ht="15.75" customHeight="1" x14ac:dyDescent="0.25">
      <c r="C756" s="3"/>
      <c r="D756" s="3"/>
    </row>
    <row r="757" spans="3:4" ht="15.75" customHeight="1" x14ac:dyDescent="0.25">
      <c r="C757" s="3"/>
      <c r="D757" s="3"/>
    </row>
    <row r="758" spans="3:4" ht="15.75" customHeight="1" x14ac:dyDescent="0.25">
      <c r="C758" s="3"/>
      <c r="D758" s="3"/>
    </row>
    <row r="759" spans="3:4" ht="15.75" customHeight="1" x14ac:dyDescent="0.25">
      <c r="C759" s="3"/>
      <c r="D759" s="3"/>
    </row>
    <row r="760" spans="3:4" ht="15.75" customHeight="1" x14ac:dyDescent="0.25">
      <c r="C760" s="3"/>
      <c r="D760" s="3"/>
    </row>
    <row r="761" spans="3:4" ht="15.75" customHeight="1" x14ac:dyDescent="0.25">
      <c r="C761" s="3"/>
      <c r="D761" s="3"/>
    </row>
    <row r="762" spans="3:4" ht="15.75" customHeight="1" x14ac:dyDescent="0.25">
      <c r="C762" s="3"/>
      <c r="D762" s="3"/>
    </row>
    <row r="763" spans="3:4" ht="15.75" customHeight="1" x14ac:dyDescent="0.25">
      <c r="C763" s="3"/>
      <c r="D763" s="3"/>
    </row>
    <row r="764" spans="3:4" ht="15.75" customHeight="1" x14ac:dyDescent="0.25">
      <c r="C764" s="3"/>
      <c r="D764" s="3"/>
    </row>
    <row r="765" spans="3:4" ht="15.75" customHeight="1" x14ac:dyDescent="0.25">
      <c r="C765" s="3"/>
      <c r="D765" s="3"/>
    </row>
    <row r="766" spans="3:4" ht="15.75" customHeight="1" x14ac:dyDescent="0.25">
      <c r="C766" s="3"/>
      <c r="D766" s="3"/>
    </row>
    <row r="767" spans="3:4" ht="15.75" customHeight="1" x14ac:dyDescent="0.25">
      <c r="C767" s="3"/>
      <c r="D767" s="3"/>
    </row>
    <row r="768" spans="3:4" ht="15.75" customHeight="1" x14ac:dyDescent="0.25">
      <c r="C768" s="3"/>
      <c r="D768" s="3"/>
    </row>
    <row r="769" spans="3:4" ht="15.75" customHeight="1" x14ac:dyDescent="0.25">
      <c r="C769" s="3"/>
      <c r="D769" s="3"/>
    </row>
    <row r="770" spans="3:4" ht="15.75" customHeight="1" x14ac:dyDescent="0.25">
      <c r="C770" s="3"/>
      <c r="D770" s="3"/>
    </row>
    <row r="771" spans="3:4" ht="15.75" customHeight="1" x14ac:dyDescent="0.25">
      <c r="C771" s="3"/>
      <c r="D771" s="3"/>
    </row>
    <row r="772" spans="3:4" ht="15.75" customHeight="1" x14ac:dyDescent="0.25">
      <c r="C772" s="3"/>
      <c r="D772" s="3"/>
    </row>
    <row r="773" spans="3:4" ht="15.75" customHeight="1" x14ac:dyDescent="0.25">
      <c r="C773" s="3"/>
      <c r="D773" s="3"/>
    </row>
    <row r="774" spans="3:4" ht="15.75" customHeight="1" x14ac:dyDescent="0.25">
      <c r="C774" s="3"/>
      <c r="D774" s="3"/>
    </row>
    <row r="775" spans="3:4" ht="15.75" customHeight="1" x14ac:dyDescent="0.25">
      <c r="C775" s="3"/>
      <c r="D775" s="3"/>
    </row>
    <row r="776" spans="3:4" ht="15.75" customHeight="1" x14ac:dyDescent="0.25">
      <c r="C776" s="3"/>
      <c r="D776" s="3"/>
    </row>
    <row r="777" spans="3:4" ht="15.75" customHeight="1" x14ac:dyDescent="0.25">
      <c r="C777" s="3"/>
      <c r="D777" s="3"/>
    </row>
    <row r="778" spans="3:4" ht="15.75" customHeight="1" x14ac:dyDescent="0.25">
      <c r="C778" s="3"/>
      <c r="D778" s="3"/>
    </row>
    <row r="779" spans="3:4" ht="15.75" customHeight="1" x14ac:dyDescent="0.25">
      <c r="C779" s="3"/>
      <c r="D779" s="3"/>
    </row>
    <row r="780" spans="3:4" ht="15.75" customHeight="1" x14ac:dyDescent="0.25">
      <c r="C780" s="3"/>
      <c r="D780" s="3"/>
    </row>
    <row r="781" spans="3:4" ht="15.75" customHeight="1" x14ac:dyDescent="0.25">
      <c r="C781" s="3"/>
      <c r="D781" s="3"/>
    </row>
    <row r="782" spans="3:4" ht="15.75" customHeight="1" x14ac:dyDescent="0.25">
      <c r="C782" s="3"/>
      <c r="D782" s="3"/>
    </row>
    <row r="783" spans="3:4" ht="15.75" customHeight="1" x14ac:dyDescent="0.25">
      <c r="C783" s="3"/>
      <c r="D783" s="3"/>
    </row>
    <row r="784" spans="3:4" ht="15.75" customHeight="1" x14ac:dyDescent="0.25">
      <c r="C784" s="3"/>
      <c r="D784" s="3"/>
    </row>
    <row r="785" spans="3:4" ht="15.75" customHeight="1" x14ac:dyDescent="0.25">
      <c r="C785" s="3"/>
      <c r="D785" s="3"/>
    </row>
    <row r="786" spans="3:4" ht="15.75" customHeight="1" x14ac:dyDescent="0.25">
      <c r="C786" s="3"/>
      <c r="D786" s="3"/>
    </row>
    <row r="787" spans="3:4" ht="15.75" customHeight="1" x14ac:dyDescent="0.25">
      <c r="C787" s="3"/>
      <c r="D787" s="3"/>
    </row>
    <row r="788" spans="3:4" ht="15.75" customHeight="1" x14ac:dyDescent="0.25">
      <c r="C788" s="3"/>
      <c r="D788" s="3"/>
    </row>
    <row r="789" spans="3:4" ht="15.75" customHeight="1" x14ac:dyDescent="0.25">
      <c r="C789" s="3"/>
      <c r="D789" s="3"/>
    </row>
    <row r="790" spans="3:4" ht="15.75" customHeight="1" x14ac:dyDescent="0.25">
      <c r="C790" s="3"/>
      <c r="D790" s="3"/>
    </row>
    <row r="791" spans="3:4" ht="15.75" customHeight="1" x14ac:dyDescent="0.25">
      <c r="C791" s="3"/>
      <c r="D791" s="3"/>
    </row>
    <row r="792" spans="3:4" ht="15.75" customHeight="1" x14ac:dyDescent="0.25">
      <c r="C792" s="3"/>
      <c r="D792" s="3"/>
    </row>
    <row r="793" spans="3:4" ht="15.75" customHeight="1" x14ac:dyDescent="0.25">
      <c r="C793" s="3"/>
      <c r="D793" s="3"/>
    </row>
    <row r="794" spans="3:4" ht="15.75" customHeight="1" x14ac:dyDescent="0.25">
      <c r="C794" s="3"/>
      <c r="D794" s="3"/>
    </row>
    <row r="795" spans="3:4" ht="15.75" customHeight="1" x14ac:dyDescent="0.25">
      <c r="C795" s="3"/>
      <c r="D795" s="3"/>
    </row>
    <row r="796" spans="3:4" ht="15.75" customHeight="1" x14ac:dyDescent="0.25">
      <c r="C796" s="3"/>
      <c r="D796" s="3"/>
    </row>
    <row r="797" spans="3:4" ht="15.75" customHeight="1" x14ac:dyDescent="0.25">
      <c r="C797" s="3"/>
      <c r="D797" s="3"/>
    </row>
    <row r="798" spans="3:4" ht="15.75" customHeight="1" x14ac:dyDescent="0.25">
      <c r="C798" s="3"/>
      <c r="D798" s="3"/>
    </row>
    <row r="799" spans="3:4" ht="15.75" customHeight="1" x14ac:dyDescent="0.25">
      <c r="C799" s="3"/>
      <c r="D799" s="3"/>
    </row>
    <row r="800" spans="3:4" ht="15.75" customHeight="1" x14ac:dyDescent="0.25">
      <c r="C800" s="3"/>
      <c r="D800" s="3"/>
    </row>
    <row r="801" spans="3:4" ht="15.75" customHeight="1" x14ac:dyDescent="0.25">
      <c r="C801" s="3"/>
      <c r="D801" s="3"/>
    </row>
    <row r="802" spans="3:4" ht="15.75" customHeight="1" x14ac:dyDescent="0.25">
      <c r="C802" s="3"/>
      <c r="D802" s="3"/>
    </row>
    <row r="803" spans="3:4" ht="15.75" customHeight="1" x14ac:dyDescent="0.25">
      <c r="C803" s="3"/>
      <c r="D803" s="3"/>
    </row>
    <row r="804" spans="3:4" ht="15.75" customHeight="1" x14ac:dyDescent="0.25">
      <c r="C804" s="3"/>
      <c r="D804" s="3"/>
    </row>
    <row r="805" spans="3:4" ht="15.75" customHeight="1" x14ac:dyDescent="0.25">
      <c r="C805" s="3"/>
      <c r="D805" s="3"/>
    </row>
    <row r="806" spans="3:4" ht="15.75" customHeight="1" x14ac:dyDescent="0.25">
      <c r="C806" s="3"/>
      <c r="D806" s="3"/>
    </row>
    <row r="807" spans="3:4" ht="15.75" customHeight="1" x14ac:dyDescent="0.25">
      <c r="C807" s="3"/>
      <c r="D807" s="3"/>
    </row>
    <row r="808" spans="3:4" ht="15.75" customHeight="1" x14ac:dyDescent="0.25">
      <c r="C808" s="3"/>
      <c r="D808" s="3"/>
    </row>
    <row r="809" spans="3:4" ht="15.75" customHeight="1" x14ac:dyDescent="0.25">
      <c r="C809" s="3"/>
      <c r="D809" s="3"/>
    </row>
    <row r="810" spans="3:4" ht="15.75" customHeight="1" x14ac:dyDescent="0.25">
      <c r="C810" s="3"/>
      <c r="D810" s="3"/>
    </row>
    <row r="811" spans="3:4" ht="15.75" customHeight="1" x14ac:dyDescent="0.25">
      <c r="C811" s="3"/>
      <c r="D811" s="3"/>
    </row>
    <row r="812" spans="3:4" ht="15.75" customHeight="1" x14ac:dyDescent="0.25">
      <c r="C812" s="3"/>
      <c r="D812" s="3"/>
    </row>
    <row r="813" spans="3:4" ht="15.75" customHeight="1" x14ac:dyDescent="0.25">
      <c r="C813" s="3"/>
      <c r="D813" s="3"/>
    </row>
    <row r="814" spans="3:4" ht="15.75" customHeight="1" x14ac:dyDescent="0.25">
      <c r="C814" s="3"/>
      <c r="D814" s="3"/>
    </row>
    <row r="815" spans="3:4" ht="15.75" customHeight="1" x14ac:dyDescent="0.25">
      <c r="C815" s="3"/>
      <c r="D815" s="3"/>
    </row>
    <row r="816" spans="3:4" ht="15.75" customHeight="1" x14ac:dyDescent="0.25">
      <c r="C816" s="3"/>
      <c r="D816" s="3"/>
    </row>
    <row r="817" spans="3:4" ht="15.75" customHeight="1" x14ac:dyDescent="0.25">
      <c r="C817" s="3"/>
      <c r="D817" s="3"/>
    </row>
    <row r="818" spans="3:4" ht="15.75" customHeight="1" x14ac:dyDescent="0.25">
      <c r="C818" s="3"/>
      <c r="D818" s="3"/>
    </row>
    <row r="819" spans="3:4" ht="15.75" customHeight="1" x14ac:dyDescent="0.25">
      <c r="C819" s="3"/>
      <c r="D819" s="3"/>
    </row>
    <row r="820" spans="3:4" ht="15.75" customHeight="1" x14ac:dyDescent="0.25">
      <c r="C820" s="3"/>
      <c r="D820" s="3"/>
    </row>
    <row r="821" spans="3:4" ht="15.75" customHeight="1" x14ac:dyDescent="0.25">
      <c r="C821" s="3"/>
      <c r="D821" s="3"/>
    </row>
    <row r="822" spans="3:4" ht="15.75" customHeight="1" x14ac:dyDescent="0.25">
      <c r="C822" s="3"/>
      <c r="D822" s="3"/>
    </row>
    <row r="823" spans="3:4" ht="15.75" customHeight="1" x14ac:dyDescent="0.25">
      <c r="C823" s="3"/>
      <c r="D823" s="3"/>
    </row>
    <row r="824" spans="3:4" ht="15.75" customHeight="1" x14ac:dyDescent="0.25">
      <c r="C824" s="3"/>
      <c r="D824" s="3"/>
    </row>
    <row r="825" spans="3:4" ht="15.75" customHeight="1" x14ac:dyDescent="0.25">
      <c r="C825" s="3"/>
      <c r="D825" s="3"/>
    </row>
    <row r="826" spans="3:4" ht="15.75" customHeight="1" x14ac:dyDescent="0.25">
      <c r="C826" s="3"/>
      <c r="D826" s="3"/>
    </row>
    <row r="827" spans="3:4" ht="15.75" customHeight="1" x14ac:dyDescent="0.25">
      <c r="C827" s="3"/>
      <c r="D827" s="3"/>
    </row>
    <row r="828" spans="3:4" ht="15.75" customHeight="1" x14ac:dyDescent="0.25">
      <c r="C828" s="3"/>
      <c r="D828" s="3"/>
    </row>
    <row r="829" spans="3:4" ht="15.75" customHeight="1" x14ac:dyDescent="0.25">
      <c r="C829" s="3"/>
      <c r="D829" s="3"/>
    </row>
    <row r="830" spans="3:4" ht="15.75" customHeight="1" x14ac:dyDescent="0.25">
      <c r="C830" s="3"/>
      <c r="D830" s="3"/>
    </row>
    <row r="831" spans="3:4" ht="15.75" customHeight="1" x14ac:dyDescent="0.25">
      <c r="C831" s="3"/>
      <c r="D831" s="3"/>
    </row>
    <row r="832" spans="3:4" ht="15.75" customHeight="1" x14ac:dyDescent="0.25">
      <c r="C832" s="3"/>
      <c r="D832" s="3"/>
    </row>
    <row r="833" spans="3:4" ht="15.75" customHeight="1" x14ac:dyDescent="0.25">
      <c r="C833" s="3"/>
      <c r="D833" s="3"/>
    </row>
    <row r="834" spans="3:4" ht="15.75" customHeight="1" x14ac:dyDescent="0.25">
      <c r="C834" s="3"/>
      <c r="D834" s="3"/>
    </row>
    <row r="835" spans="3:4" ht="15.75" customHeight="1" x14ac:dyDescent="0.25">
      <c r="C835" s="3"/>
      <c r="D835" s="3"/>
    </row>
    <row r="836" spans="3:4" ht="15.75" customHeight="1" x14ac:dyDescent="0.25">
      <c r="C836" s="3"/>
      <c r="D836" s="3"/>
    </row>
    <row r="837" spans="3:4" ht="15.75" customHeight="1" x14ac:dyDescent="0.25">
      <c r="C837" s="3"/>
      <c r="D837" s="3"/>
    </row>
    <row r="838" spans="3:4" ht="15.75" customHeight="1" x14ac:dyDescent="0.25">
      <c r="C838" s="3"/>
      <c r="D838" s="3"/>
    </row>
    <row r="839" spans="3:4" ht="15.75" customHeight="1" x14ac:dyDescent="0.25">
      <c r="C839" s="3"/>
      <c r="D839" s="3"/>
    </row>
    <row r="840" spans="3:4" ht="15.75" customHeight="1" x14ac:dyDescent="0.25">
      <c r="C840" s="3"/>
      <c r="D840" s="3"/>
    </row>
    <row r="841" spans="3:4" ht="15.75" customHeight="1" x14ac:dyDescent="0.25">
      <c r="C841" s="3"/>
      <c r="D841" s="3"/>
    </row>
    <row r="842" spans="3:4" ht="15.75" customHeight="1" x14ac:dyDescent="0.25">
      <c r="C842" s="3"/>
      <c r="D842" s="3"/>
    </row>
    <row r="843" spans="3:4" ht="15.75" customHeight="1" x14ac:dyDescent="0.25">
      <c r="C843" s="3"/>
      <c r="D843" s="3"/>
    </row>
    <row r="844" spans="3:4" ht="15.75" customHeight="1" x14ac:dyDescent="0.25">
      <c r="C844" s="3"/>
      <c r="D844" s="3"/>
    </row>
    <row r="845" spans="3:4" ht="15.75" customHeight="1" x14ac:dyDescent="0.25">
      <c r="C845" s="3"/>
      <c r="D845" s="3"/>
    </row>
    <row r="846" spans="3:4" ht="15.75" customHeight="1" x14ac:dyDescent="0.25">
      <c r="C846" s="3"/>
      <c r="D846" s="3"/>
    </row>
    <row r="847" spans="3:4" ht="15.75" customHeight="1" x14ac:dyDescent="0.25">
      <c r="C847" s="3"/>
      <c r="D847" s="3"/>
    </row>
    <row r="848" spans="3:4" ht="15.75" customHeight="1" x14ac:dyDescent="0.25">
      <c r="C848" s="3"/>
      <c r="D848" s="3"/>
    </row>
    <row r="849" spans="3:4" ht="15.75" customHeight="1" x14ac:dyDescent="0.25">
      <c r="C849" s="3"/>
      <c r="D849" s="3"/>
    </row>
    <row r="850" spans="3:4" ht="15.75" customHeight="1" x14ac:dyDescent="0.25">
      <c r="C850" s="3"/>
      <c r="D850" s="3"/>
    </row>
    <row r="851" spans="3:4" ht="15.75" customHeight="1" x14ac:dyDescent="0.25">
      <c r="C851" s="3"/>
      <c r="D851" s="3"/>
    </row>
    <row r="852" spans="3:4" ht="15.75" customHeight="1" x14ac:dyDescent="0.25">
      <c r="C852" s="3"/>
      <c r="D852" s="3"/>
    </row>
    <row r="853" spans="3:4" ht="15.75" customHeight="1" x14ac:dyDescent="0.25">
      <c r="C853" s="3"/>
      <c r="D853" s="3"/>
    </row>
    <row r="854" spans="3:4" ht="15.75" customHeight="1" x14ac:dyDescent="0.25">
      <c r="C854" s="3"/>
      <c r="D854" s="3"/>
    </row>
    <row r="855" spans="3:4" ht="15.75" customHeight="1" x14ac:dyDescent="0.25">
      <c r="C855" s="3"/>
      <c r="D855" s="3"/>
    </row>
    <row r="856" spans="3:4" ht="15.75" customHeight="1" x14ac:dyDescent="0.25">
      <c r="C856" s="3"/>
      <c r="D856" s="3"/>
    </row>
    <row r="857" spans="3:4" ht="15.75" customHeight="1" x14ac:dyDescent="0.25">
      <c r="C857" s="3"/>
      <c r="D857" s="3"/>
    </row>
    <row r="858" spans="3:4" ht="15.75" customHeight="1" x14ac:dyDescent="0.25">
      <c r="C858" s="3"/>
      <c r="D858" s="3"/>
    </row>
    <row r="859" spans="3:4" ht="15.75" customHeight="1" x14ac:dyDescent="0.25">
      <c r="C859" s="3"/>
      <c r="D859" s="3"/>
    </row>
    <row r="860" spans="3:4" ht="15.75" customHeight="1" x14ac:dyDescent="0.25">
      <c r="C860" s="3"/>
      <c r="D860" s="3"/>
    </row>
    <row r="861" spans="3:4" ht="15.75" customHeight="1" x14ac:dyDescent="0.25">
      <c r="C861" s="3"/>
      <c r="D861" s="3"/>
    </row>
    <row r="862" spans="3:4" ht="15.75" customHeight="1" x14ac:dyDescent="0.25">
      <c r="C862" s="3"/>
      <c r="D862" s="3"/>
    </row>
    <row r="863" spans="3:4" ht="15.75" customHeight="1" x14ac:dyDescent="0.25">
      <c r="C863" s="3"/>
      <c r="D863" s="3"/>
    </row>
    <row r="864" spans="3:4" ht="15.75" customHeight="1" x14ac:dyDescent="0.25">
      <c r="C864" s="3"/>
      <c r="D864" s="3"/>
    </row>
    <row r="865" spans="3:4" ht="15.75" customHeight="1" x14ac:dyDescent="0.25">
      <c r="C865" s="3"/>
      <c r="D865" s="3"/>
    </row>
    <row r="866" spans="3:4" ht="15.75" customHeight="1" x14ac:dyDescent="0.25">
      <c r="C866" s="3"/>
      <c r="D866" s="3"/>
    </row>
    <row r="867" spans="3:4" ht="15.75" customHeight="1" x14ac:dyDescent="0.25">
      <c r="C867" s="3"/>
      <c r="D867" s="3"/>
    </row>
    <row r="868" spans="3:4" ht="15.75" customHeight="1" x14ac:dyDescent="0.25">
      <c r="C868" s="3"/>
      <c r="D868" s="3"/>
    </row>
    <row r="869" spans="3:4" ht="15.75" customHeight="1" x14ac:dyDescent="0.25">
      <c r="C869" s="3"/>
      <c r="D869" s="3"/>
    </row>
    <row r="870" spans="3:4" ht="15.75" customHeight="1" x14ac:dyDescent="0.25">
      <c r="C870" s="3"/>
      <c r="D870" s="3"/>
    </row>
    <row r="871" spans="3:4" ht="15.75" customHeight="1" x14ac:dyDescent="0.25">
      <c r="C871" s="3"/>
      <c r="D871" s="3"/>
    </row>
    <row r="872" spans="3:4" ht="15.75" customHeight="1" x14ac:dyDescent="0.25">
      <c r="C872" s="3"/>
      <c r="D872" s="3"/>
    </row>
    <row r="873" spans="3:4" ht="15.75" customHeight="1" x14ac:dyDescent="0.25">
      <c r="C873" s="3"/>
      <c r="D873" s="3"/>
    </row>
    <row r="874" spans="3:4" ht="15.75" customHeight="1" x14ac:dyDescent="0.25">
      <c r="C874" s="3"/>
      <c r="D874" s="3"/>
    </row>
    <row r="875" spans="3:4" ht="15.75" customHeight="1" x14ac:dyDescent="0.25">
      <c r="C875" s="3"/>
      <c r="D875" s="3"/>
    </row>
    <row r="876" spans="3:4" ht="15.75" customHeight="1" x14ac:dyDescent="0.25">
      <c r="C876" s="3"/>
      <c r="D876" s="3"/>
    </row>
    <row r="877" spans="3:4" ht="15.75" customHeight="1" x14ac:dyDescent="0.25">
      <c r="C877" s="3"/>
      <c r="D877" s="3"/>
    </row>
    <row r="878" spans="3:4" ht="15.75" customHeight="1" x14ac:dyDescent="0.25">
      <c r="C878" s="3"/>
      <c r="D878" s="3"/>
    </row>
    <row r="879" spans="3:4" ht="15.75" customHeight="1" x14ac:dyDescent="0.25">
      <c r="C879" s="3"/>
      <c r="D879" s="3"/>
    </row>
    <row r="880" spans="3:4" ht="15.75" customHeight="1" x14ac:dyDescent="0.25">
      <c r="C880" s="3"/>
      <c r="D880" s="3"/>
    </row>
    <row r="881" spans="3:4" ht="15.75" customHeight="1" x14ac:dyDescent="0.25">
      <c r="C881" s="3"/>
      <c r="D881" s="3"/>
    </row>
    <row r="882" spans="3:4" ht="15.75" customHeight="1" x14ac:dyDescent="0.25">
      <c r="C882" s="3"/>
      <c r="D882" s="3"/>
    </row>
    <row r="883" spans="3:4" ht="15.75" customHeight="1" x14ac:dyDescent="0.25">
      <c r="C883" s="3"/>
      <c r="D883" s="3"/>
    </row>
    <row r="884" spans="3:4" ht="15.75" customHeight="1" x14ac:dyDescent="0.25">
      <c r="C884" s="3"/>
      <c r="D884" s="3"/>
    </row>
    <row r="885" spans="3:4" ht="15.75" customHeight="1" x14ac:dyDescent="0.25">
      <c r="C885" s="3"/>
      <c r="D885" s="3"/>
    </row>
    <row r="886" spans="3:4" ht="15.75" customHeight="1" x14ac:dyDescent="0.25">
      <c r="C886" s="3"/>
      <c r="D886" s="3"/>
    </row>
    <row r="887" spans="3:4" ht="15.75" customHeight="1" x14ac:dyDescent="0.25">
      <c r="C887" s="3"/>
      <c r="D887" s="3"/>
    </row>
    <row r="888" spans="3:4" ht="15.75" customHeight="1" x14ac:dyDescent="0.25">
      <c r="C888" s="3"/>
      <c r="D888" s="3"/>
    </row>
    <row r="889" spans="3:4" ht="15.75" customHeight="1" x14ac:dyDescent="0.25">
      <c r="C889" s="3"/>
      <c r="D889" s="3"/>
    </row>
    <row r="890" spans="3:4" ht="15.75" customHeight="1" x14ac:dyDescent="0.25">
      <c r="C890" s="3"/>
      <c r="D890" s="3"/>
    </row>
    <row r="891" spans="3:4" ht="15.75" customHeight="1" x14ac:dyDescent="0.25">
      <c r="C891" s="3"/>
      <c r="D891" s="3"/>
    </row>
    <row r="892" spans="3:4" ht="15.75" customHeight="1" x14ac:dyDescent="0.25">
      <c r="C892" s="3"/>
      <c r="D892" s="3"/>
    </row>
    <row r="893" spans="3:4" ht="15.75" customHeight="1" x14ac:dyDescent="0.25">
      <c r="C893" s="3"/>
      <c r="D893" s="3"/>
    </row>
    <row r="894" spans="3:4" ht="15.75" customHeight="1" x14ac:dyDescent="0.25">
      <c r="C894" s="3"/>
      <c r="D894" s="3"/>
    </row>
    <row r="895" spans="3:4" ht="15.75" customHeight="1" x14ac:dyDescent="0.25">
      <c r="C895" s="3"/>
      <c r="D895" s="3"/>
    </row>
    <row r="896" spans="3:4" ht="15.75" customHeight="1" x14ac:dyDescent="0.25">
      <c r="C896" s="3"/>
      <c r="D896" s="3"/>
    </row>
    <row r="897" spans="3:4" ht="15.75" customHeight="1" x14ac:dyDescent="0.25">
      <c r="C897" s="3"/>
      <c r="D897" s="3"/>
    </row>
    <row r="898" spans="3:4" ht="15.75" customHeight="1" x14ac:dyDescent="0.25">
      <c r="C898" s="3"/>
      <c r="D898" s="3"/>
    </row>
    <row r="899" spans="3:4" ht="15.75" customHeight="1" x14ac:dyDescent="0.25">
      <c r="C899" s="3"/>
      <c r="D899" s="3"/>
    </row>
    <row r="900" spans="3:4" ht="15.75" customHeight="1" x14ac:dyDescent="0.25">
      <c r="C900" s="3"/>
      <c r="D900" s="3"/>
    </row>
    <row r="901" spans="3:4" ht="15.75" customHeight="1" x14ac:dyDescent="0.25">
      <c r="C901" s="3"/>
      <c r="D901" s="3"/>
    </row>
    <row r="902" spans="3:4" ht="15.75" customHeight="1" x14ac:dyDescent="0.25">
      <c r="C902" s="3"/>
      <c r="D902" s="3"/>
    </row>
    <row r="903" spans="3:4" ht="15.75" customHeight="1" x14ac:dyDescent="0.25">
      <c r="C903" s="3"/>
      <c r="D903" s="3"/>
    </row>
    <row r="904" spans="3:4" ht="15.75" customHeight="1" x14ac:dyDescent="0.25">
      <c r="C904" s="3"/>
      <c r="D904" s="3"/>
    </row>
    <row r="905" spans="3:4" ht="15.75" customHeight="1" x14ac:dyDescent="0.25">
      <c r="C905" s="3"/>
      <c r="D905" s="3"/>
    </row>
    <row r="906" spans="3:4" ht="15.75" customHeight="1" x14ac:dyDescent="0.25">
      <c r="C906" s="3"/>
      <c r="D906" s="3"/>
    </row>
    <row r="907" spans="3:4" ht="15.75" customHeight="1" x14ac:dyDescent="0.25">
      <c r="C907" s="3"/>
      <c r="D907" s="3"/>
    </row>
    <row r="908" spans="3:4" ht="15.75" customHeight="1" x14ac:dyDescent="0.25">
      <c r="C908" s="3"/>
      <c r="D908" s="3"/>
    </row>
    <row r="909" spans="3:4" ht="15.75" customHeight="1" x14ac:dyDescent="0.25">
      <c r="C909" s="3"/>
      <c r="D909" s="3"/>
    </row>
    <row r="910" spans="3:4" ht="15.75" customHeight="1" x14ac:dyDescent="0.25">
      <c r="C910" s="3"/>
      <c r="D910" s="3"/>
    </row>
    <row r="911" spans="3:4" ht="15.75" customHeight="1" x14ac:dyDescent="0.25">
      <c r="C911" s="3"/>
      <c r="D911" s="3"/>
    </row>
    <row r="912" spans="3:4" ht="15.75" customHeight="1" x14ac:dyDescent="0.25">
      <c r="C912" s="3"/>
      <c r="D912" s="3"/>
    </row>
    <row r="913" spans="3:4" ht="15.75" customHeight="1" x14ac:dyDescent="0.25">
      <c r="C913" s="3"/>
      <c r="D913" s="3"/>
    </row>
    <row r="914" spans="3:4" ht="15.75" customHeight="1" x14ac:dyDescent="0.25">
      <c r="C914" s="3"/>
      <c r="D914" s="3"/>
    </row>
    <row r="915" spans="3:4" ht="15.75" customHeight="1" x14ac:dyDescent="0.25">
      <c r="C915" s="3"/>
      <c r="D915" s="3"/>
    </row>
    <row r="916" spans="3:4" ht="15.75" customHeight="1" x14ac:dyDescent="0.25">
      <c r="C916" s="3"/>
      <c r="D916" s="3"/>
    </row>
    <row r="917" spans="3:4" ht="15.75" customHeight="1" x14ac:dyDescent="0.25">
      <c r="C917" s="3"/>
      <c r="D917" s="3"/>
    </row>
    <row r="918" spans="3:4" ht="15.75" customHeight="1" x14ac:dyDescent="0.25">
      <c r="C918" s="3"/>
      <c r="D918" s="3"/>
    </row>
    <row r="919" spans="3:4" ht="15.75" customHeight="1" x14ac:dyDescent="0.25">
      <c r="C919" s="3"/>
      <c r="D919" s="3"/>
    </row>
    <row r="920" spans="3:4" ht="15.75" customHeight="1" x14ac:dyDescent="0.25">
      <c r="C920" s="3"/>
      <c r="D920" s="3"/>
    </row>
    <row r="921" spans="3:4" ht="15.75" customHeight="1" x14ac:dyDescent="0.25">
      <c r="C921" s="3"/>
      <c r="D921" s="3"/>
    </row>
    <row r="922" spans="3:4" ht="15.75" customHeight="1" x14ac:dyDescent="0.25">
      <c r="C922" s="3"/>
      <c r="D922" s="3"/>
    </row>
    <row r="923" spans="3:4" ht="15.75" customHeight="1" x14ac:dyDescent="0.25">
      <c r="C923" s="3"/>
      <c r="D923" s="3"/>
    </row>
    <row r="924" spans="3:4" ht="15.75" customHeight="1" x14ac:dyDescent="0.25">
      <c r="C924" s="3"/>
      <c r="D924" s="3"/>
    </row>
    <row r="925" spans="3:4" ht="15.75" customHeight="1" x14ac:dyDescent="0.25">
      <c r="C925" s="3"/>
      <c r="D925" s="3"/>
    </row>
    <row r="926" spans="3:4" ht="15.75" customHeight="1" x14ac:dyDescent="0.25">
      <c r="C926" s="3"/>
      <c r="D926" s="3"/>
    </row>
    <row r="927" spans="3:4" ht="15.75" customHeight="1" x14ac:dyDescent="0.25">
      <c r="C927" s="3"/>
      <c r="D927" s="3"/>
    </row>
    <row r="928" spans="3:4" ht="15.75" customHeight="1" x14ac:dyDescent="0.25">
      <c r="C928" s="3"/>
      <c r="D928" s="3"/>
    </row>
    <row r="929" spans="3:4" ht="15.75" customHeight="1" x14ac:dyDescent="0.25">
      <c r="C929" s="3"/>
      <c r="D929" s="3"/>
    </row>
    <row r="930" spans="3:4" ht="15.75" customHeight="1" x14ac:dyDescent="0.25">
      <c r="C930" s="3"/>
      <c r="D930" s="3"/>
    </row>
    <row r="931" spans="3:4" ht="15.75" customHeight="1" x14ac:dyDescent="0.25">
      <c r="C931" s="3"/>
      <c r="D931" s="3"/>
    </row>
    <row r="932" spans="3:4" ht="15.75" customHeight="1" x14ac:dyDescent="0.25">
      <c r="C932" s="3"/>
      <c r="D932" s="3"/>
    </row>
    <row r="933" spans="3:4" ht="15.75" customHeight="1" x14ac:dyDescent="0.25">
      <c r="C933" s="3"/>
      <c r="D933" s="3"/>
    </row>
    <row r="934" spans="3:4" ht="15.75" customHeight="1" x14ac:dyDescent="0.25">
      <c r="C934" s="3"/>
      <c r="D934" s="3"/>
    </row>
    <row r="935" spans="3:4" ht="15.75" customHeight="1" x14ac:dyDescent="0.25">
      <c r="C935" s="3"/>
      <c r="D935" s="3"/>
    </row>
    <row r="936" spans="3:4" ht="15.75" customHeight="1" x14ac:dyDescent="0.25">
      <c r="C936" s="3"/>
      <c r="D936" s="3"/>
    </row>
    <row r="937" spans="3:4" ht="15.75" customHeight="1" x14ac:dyDescent="0.25">
      <c r="C937" s="3"/>
      <c r="D937" s="3"/>
    </row>
    <row r="938" spans="3:4" ht="15.75" customHeight="1" x14ac:dyDescent="0.25">
      <c r="C938" s="3"/>
      <c r="D938" s="3"/>
    </row>
    <row r="939" spans="3:4" ht="15.75" customHeight="1" x14ac:dyDescent="0.25">
      <c r="C939" s="3"/>
      <c r="D939" s="3"/>
    </row>
    <row r="940" spans="3:4" ht="15.75" customHeight="1" x14ac:dyDescent="0.25">
      <c r="C940" s="3"/>
      <c r="D940" s="3"/>
    </row>
    <row r="941" spans="3:4" ht="15.75" customHeight="1" x14ac:dyDescent="0.25">
      <c r="C941" s="3"/>
      <c r="D941" s="3"/>
    </row>
    <row r="942" spans="3:4" ht="15.75" customHeight="1" x14ac:dyDescent="0.25">
      <c r="C942" s="3"/>
      <c r="D942" s="3"/>
    </row>
    <row r="943" spans="3:4" ht="15.75" customHeight="1" x14ac:dyDescent="0.25">
      <c r="C943" s="3"/>
      <c r="D943" s="3"/>
    </row>
    <row r="944" spans="3:4" ht="15.75" customHeight="1" x14ac:dyDescent="0.25">
      <c r="C944" s="3"/>
      <c r="D944" s="3"/>
    </row>
    <row r="945" spans="3:4" ht="15.75" customHeight="1" x14ac:dyDescent="0.25">
      <c r="C945" s="3"/>
      <c r="D945" s="3"/>
    </row>
    <row r="946" spans="3:4" ht="15.75" customHeight="1" x14ac:dyDescent="0.25">
      <c r="C946" s="3"/>
      <c r="D946" s="3"/>
    </row>
    <row r="947" spans="3:4" ht="15.75" customHeight="1" x14ac:dyDescent="0.25">
      <c r="C947" s="3"/>
      <c r="D947" s="3"/>
    </row>
    <row r="948" spans="3:4" ht="15.75" customHeight="1" x14ac:dyDescent="0.25">
      <c r="C948" s="3"/>
      <c r="D948" s="3"/>
    </row>
    <row r="949" spans="3:4" ht="15.75" customHeight="1" x14ac:dyDescent="0.25">
      <c r="C949" s="3"/>
      <c r="D949" s="3"/>
    </row>
    <row r="950" spans="3:4" ht="15.75" customHeight="1" x14ac:dyDescent="0.25">
      <c r="C950" s="3"/>
      <c r="D950" s="3"/>
    </row>
    <row r="951" spans="3:4" ht="15.75" customHeight="1" x14ac:dyDescent="0.25">
      <c r="C951" s="3"/>
      <c r="D951" s="3"/>
    </row>
    <row r="952" spans="3:4" ht="15.75" customHeight="1" x14ac:dyDescent="0.25">
      <c r="C952" s="3"/>
      <c r="D952" s="3"/>
    </row>
    <row r="953" spans="3:4" ht="15.75" customHeight="1" x14ac:dyDescent="0.25">
      <c r="C953" s="3"/>
      <c r="D953" s="3"/>
    </row>
    <row r="954" spans="3:4" ht="15.75" customHeight="1" x14ac:dyDescent="0.25">
      <c r="C954" s="3"/>
      <c r="D954" s="3"/>
    </row>
    <row r="955" spans="3:4" ht="15.75" customHeight="1" x14ac:dyDescent="0.25">
      <c r="C955" s="3"/>
      <c r="D955" s="3"/>
    </row>
    <row r="956" spans="3:4" ht="15.75" customHeight="1" x14ac:dyDescent="0.25">
      <c r="C956" s="3"/>
      <c r="D956" s="3"/>
    </row>
    <row r="957" spans="3:4" ht="15.75" customHeight="1" x14ac:dyDescent="0.25">
      <c r="C957" s="3"/>
      <c r="D957" s="3"/>
    </row>
    <row r="958" spans="3:4" ht="15.75" customHeight="1" x14ac:dyDescent="0.25">
      <c r="C958" s="3"/>
      <c r="D958" s="3"/>
    </row>
    <row r="959" spans="3:4" ht="15.75" customHeight="1" x14ac:dyDescent="0.25">
      <c r="C959" s="3"/>
      <c r="D959" s="3"/>
    </row>
    <row r="960" spans="3:4" ht="15.75" customHeight="1" x14ac:dyDescent="0.25">
      <c r="C960" s="3"/>
      <c r="D960" s="3"/>
    </row>
    <row r="961" spans="3:4" ht="15.75" customHeight="1" x14ac:dyDescent="0.25">
      <c r="C961" s="3"/>
      <c r="D961" s="3"/>
    </row>
    <row r="962" spans="3:4" ht="15.75" customHeight="1" x14ac:dyDescent="0.25">
      <c r="C962" s="3"/>
      <c r="D962" s="3"/>
    </row>
    <row r="963" spans="3:4" ht="15.75" customHeight="1" x14ac:dyDescent="0.25">
      <c r="C963" s="3"/>
      <c r="D963" s="3"/>
    </row>
    <row r="964" spans="3:4" ht="15.75" customHeight="1" x14ac:dyDescent="0.25">
      <c r="C964" s="3"/>
      <c r="D964" s="3"/>
    </row>
    <row r="965" spans="3:4" ht="15.75" customHeight="1" x14ac:dyDescent="0.25">
      <c r="C965" s="3"/>
      <c r="D965" s="3"/>
    </row>
    <row r="966" spans="3:4" ht="15.75" customHeight="1" x14ac:dyDescent="0.25">
      <c r="C966" s="3"/>
      <c r="D966" s="3"/>
    </row>
    <row r="967" spans="3:4" ht="15.75" customHeight="1" x14ac:dyDescent="0.25">
      <c r="C967" s="3"/>
      <c r="D967" s="3"/>
    </row>
    <row r="968" spans="3:4" ht="15.75" customHeight="1" x14ac:dyDescent="0.25">
      <c r="C968" s="3"/>
      <c r="D968" s="3"/>
    </row>
    <row r="969" spans="3:4" ht="15.75" customHeight="1" x14ac:dyDescent="0.25">
      <c r="C969" s="3"/>
      <c r="D969" s="3"/>
    </row>
    <row r="970" spans="3:4" ht="15.75" customHeight="1" x14ac:dyDescent="0.25">
      <c r="C970" s="3"/>
      <c r="D970" s="3"/>
    </row>
    <row r="971" spans="3:4" ht="15.75" customHeight="1" x14ac:dyDescent="0.25">
      <c r="C971" s="3"/>
      <c r="D971" s="3"/>
    </row>
    <row r="972" spans="3:4" ht="15.75" customHeight="1" x14ac:dyDescent="0.25">
      <c r="C972" s="3"/>
      <c r="D972" s="3"/>
    </row>
    <row r="973" spans="3:4" ht="15.75" customHeight="1" x14ac:dyDescent="0.25">
      <c r="C973" s="3"/>
      <c r="D973" s="3"/>
    </row>
    <row r="974" spans="3:4" ht="15.75" customHeight="1" x14ac:dyDescent="0.25">
      <c r="C974" s="3"/>
      <c r="D974" s="3"/>
    </row>
    <row r="975" spans="3:4" ht="15.75" customHeight="1" x14ac:dyDescent="0.25">
      <c r="C975" s="3"/>
      <c r="D975" s="3"/>
    </row>
    <row r="976" spans="3:4" ht="15.75" customHeight="1" x14ac:dyDescent="0.25">
      <c r="C976" s="3"/>
      <c r="D976" s="3"/>
    </row>
    <row r="977" spans="3:4" ht="15.75" customHeight="1" x14ac:dyDescent="0.25">
      <c r="C977" s="3"/>
      <c r="D977" s="3"/>
    </row>
    <row r="978" spans="3:4" ht="15.75" customHeight="1" x14ac:dyDescent="0.25">
      <c r="C978" s="3"/>
      <c r="D978" s="3"/>
    </row>
    <row r="979" spans="3:4" ht="15.75" customHeight="1" x14ac:dyDescent="0.25">
      <c r="C979" s="3"/>
      <c r="D979" s="3"/>
    </row>
    <row r="980" spans="3:4" ht="15.75" customHeight="1" x14ac:dyDescent="0.25">
      <c r="C980" s="3"/>
      <c r="D980" s="3"/>
    </row>
    <row r="981" spans="3:4" ht="15.75" customHeight="1" x14ac:dyDescent="0.25">
      <c r="C981" s="3"/>
      <c r="D981" s="3"/>
    </row>
    <row r="982" spans="3:4" ht="15.75" customHeight="1" x14ac:dyDescent="0.25">
      <c r="C982" s="3"/>
      <c r="D982" s="3"/>
    </row>
    <row r="983" spans="3:4" ht="15.75" customHeight="1" x14ac:dyDescent="0.25">
      <c r="C983" s="3"/>
      <c r="D983" s="3"/>
    </row>
    <row r="984" spans="3:4" ht="15.75" customHeight="1" x14ac:dyDescent="0.25">
      <c r="C984" s="3"/>
      <c r="D984" s="3"/>
    </row>
    <row r="985" spans="3:4" ht="15.75" customHeight="1" x14ac:dyDescent="0.25">
      <c r="C985" s="3"/>
      <c r="D985" s="3"/>
    </row>
    <row r="986" spans="3:4" ht="15.75" customHeight="1" x14ac:dyDescent="0.25">
      <c r="C986" s="3"/>
      <c r="D986" s="3"/>
    </row>
    <row r="987" spans="3:4" ht="15.75" customHeight="1" x14ac:dyDescent="0.25">
      <c r="C987" s="3"/>
      <c r="D987" s="3"/>
    </row>
    <row r="988" spans="3:4" ht="15.75" customHeight="1" x14ac:dyDescent="0.25">
      <c r="C988" s="3"/>
      <c r="D988" s="3"/>
    </row>
    <row r="989" spans="3:4" ht="15.75" customHeight="1" x14ac:dyDescent="0.25">
      <c r="C989" s="3"/>
      <c r="D989" s="3"/>
    </row>
    <row r="990" spans="3:4" ht="15.75" customHeight="1" x14ac:dyDescent="0.25">
      <c r="C990" s="3"/>
      <c r="D990" s="3"/>
    </row>
    <row r="991" spans="3:4" ht="15.75" customHeight="1" x14ac:dyDescent="0.25">
      <c r="C991" s="3"/>
      <c r="D991" s="3"/>
    </row>
    <row r="992" spans="3:4" ht="15.75" customHeight="1" x14ac:dyDescent="0.25">
      <c r="C992" s="3"/>
      <c r="D992" s="3"/>
    </row>
    <row r="993" spans="3:4" ht="15.75" customHeight="1" x14ac:dyDescent="0.25">
      <c r="C993" s="3"/>
      <c r="D993" s="3"/>
    </row>
    <row r="994" spans="3:4" ht="15.75" customHeight="1" x14ac:dyDescent="0.25">
      <c r="C994" s="3"/>
      <c r="D994" s="3"/>
    </row>
    <row r="995" spans="3:4" ht="15.75" customHeight="1" x14ac:dyDescent="0.25">
      <c r="C995" s="3"/>
      <c r="D995" s="3"/>
    </row>
    <row r="996" spans="3:4" ht="15.75" customHeight="1" x14ac:dyDescent="0.25">
      <c r="C996" s="3"/>
      <c r="D996" s="3"/>
    </row>
    <row r="997" spans="3:4" ht="15.75" customHeight="1" x14ac:dyDescent="0.25">
      <c r="C997" s="3"/>
      <c r="D997" s="3"/>
    </row>
    <row r="998" spans="3:4" ht="15.75" customHeight="1" x14ac:dyDescent="0.25">
      <c r="C998" s="3"/>
      <c r="D998" s="3"/>
    </row>
    <row r="999" spans="3:4" ht="15.75" customHeight="1" x14ac:dyDescent="0.25">
      <c r="C999" s="3"/>
      <c r="D999" s="3"/>
    </row>
    <row r="1000" spans="3:4" ht="15.75" customHeight="1" x14ac:dyDescent="0.25">
      <c r="C1000" s="3"/>
      <c r="D1000" s="3"/>
    </row>
  </sheetData>
  <mergeCells count="7">
    <mergeCell ref="H4:H5"/>
    <mergeCell ref="I4:I5"/>
    <mergeCell ref="A4:A5"/>
    <mergeCell ref="B4:D4"/>
    <mergeCell ref="E4:E5"/>
    <mergeCell ref="F4:F5"/>
    <mergeCell ref="G4:G5"/>
  </mergeCells>
  <phoneticPr fontId="10"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7CD1-50F8-4847-9587-EFEF6C01F3F5}">
  <dimension ref="A4:K110"/>
  <sheetViews>
    <sheetView topLeftCell="A107" zoomScaleNormal="100" workbookViewId="0">
      <selection activeCell="N35" sqref="N35"/>
    </sheetView>
  </sheetViews>
  <sheetFormatPr defaultRowHeight="15.75" x14ac:dyDescent="0.25"/>
  <cols>
    <col min="1" max="1" width="11.5703125" style="36" customWidth="1"/>
    <col min="2" max="2" width="43.7109375" style="27" customWidth="1"/>
    <col min="3" max="3" width="10" style="34" customWidth="1"/>
    <col min="4" max="4" width="10.42578125" style="34" customWidth="1"/>
    <col min="5" max="5" width="10.140625" style="34" customWidth="1"/>
    <col min="6" max="6" width="9.140625" style="34"/>
    <col min="7" max="7" width="13.28515625" style="34" customWidth="1"/>
    <col min="8" max="8" width="13.42578125" style="34" customWidth="1"/>
    <col min="9" max="9" width="16.85546875" style="34" customWidth="1"/>
    <col min="10" max="10" width="12.5703125" style="34" customWidth="1"/>
    <col min="11" max="11" width="16.140625" style="34" customWidth="1"/>
    <col min="12" max="12" width="12.7109375" style="27" customWidth="1"/>
    <col min="13" max="16384" width="9.140625" style="27"/>
  </cols>
  <sheetData>
    <row r="4" spans="1:11" ht="63" x14ac:dyDescent="0.25">
      <c r="A4" s="25" t="s">
        <v>794</v>
      </c>
      <c r="B4" s="25" t="s">
        <v>795</v>
      </c>
      <c r="C4" s="26" t="s">
        <v>796</v>
      </c>
      <c r="D4" s="26" t="s">
        <v>797</v>
      </c>
      <c r="E4" s="26" t="s">
        <v>798</v>
      </c>
      <c r="F4" s="26" t="s">
        <v>799</v>
      </c>
      <c r="G4" s="26" t="s">
        <v>800</v>
      </c>
      <c r="H4" s="26" t="s">
        <v>801</v>
      </c>
      <c r="I4" s="26" t="s">
        <v>802</v>
      </c>
      <c r="J4" s="26" t="s">
        <v>803</v>
      </c>
      <c r="K4" s="26" t="s">
        <v>804</v>
      </c>
    </row>
    <row r="5" spans="1:11" ht="33.75" customHeight="1" x14ac:dyDescent="0.25">
      <c r="A5" s="41" t="s">
        <v>805</v>
      </c>
      <c r="B5" s="42"/>
      <c r="C5" s="42"/>
      <c r="D5" s="42"/>
      <c r="E5" s="42"/>
      <c r="F5" s="42"/>
      <c r="G5" s="42"/>
      <c r="H5" s="42"/>
      <c r="I5" s="42"/>
      <c r="J5" s="42"/>
      <c r="K5" s="43"/>
    </row>
    <row r="6" spans="1:11" ht="18" customHeight="1" x14ac:dyDescent="0.25">
      <c r="A6" s="28">
        <v>1</v>
      </c>
      <c r="B6" s="29" t="s">
        <v>429</v>
      </c>
      <c r="C6" s="28">
        <v>2</v>
      </c>
      <c r="D6" s="28">
        <v>2</v>
      </c>
      <c r="E6" s="28">
        <v>1</v>
      </c>
      <c r="F6" s="28">
        <v>3</v>
      </c>
      <c r="G6" s="28">
        <f>SUM(C6:F6)</f>
        <v>8</v>
      </c>
      <c r="H6" s="30">
        <f>IF(ISNUMBER(J6),  IF(J6&lt;=11, 2,    IF(J6&lt;24,1,   0.5)), "chưa có ed")</f>
        <v>1</v>
      </c>
      <c r="I6" s="30">
        <f>G6*H6</f>
        <v>8</v>
      </c>
      <c r="J6" s="30">
        <v>20</v>
      </c>
      <c r="K6" s="30">
        <f>ROUND((I6*J6)/36, 1)</f>
        <v>4.4000000000000004</v>
      </c>
    </row>
    <row r="7" spans="1:11" ht="18" customHeight="1" x14ac:dyDescent="0.25">
      <c r="A7" s="31">
        <v>1</v>
      </c>
      <c r="B7" s="29" t="s">
        <v>845</v>
      </c>
      <c r="C7" s="31">
        <v>2</v>
      </c>
      <c r="D7" s="31">
        <v>2</v>
      </c>
      <c r="E7" s="31">
        <v>1</v>
      </c>
      <c r="F7" s="31">
        <v>3</v>
      </c>
      <c r="G7" s="28">
        <f t="shared" ref="G7:G41" si="0">SUM(C7:F7)</f>
        <v>8</v>
      </c>
      <c r="H7" s="30">
        <f t="shared" ref="H7:H41" si="1">IF(ISNUMBER(J7),  IF(J7&lt;=11, 2,    IF(J7&lt;24,1,   0.5)), "chưa có ed")</f>
        <v>1</v>
      </c>
      <c r="I7" s="30">
        <f t="shared" ref="I7:I41" si="2">G7*H7</f>
        <v>8</v>
      </c>
      <c r="J7" s="30">
        <v>20</v>
      </c>
      <c r="K7" s="30">
        <f t="shared" ref="K7:K41" si="3">ROUND((I7*J7)/36, 1)</f>
        <v>4.4000000000000004</v>
      </c>
    </row>
    <row r="8" spans="1:11" ht="18" customHeight="1" x14ac:dyDescent="0.25">
      <c r="A8" s="28">
        <v>1</v>
      </c>
      <c r="B8" s="29" t="s">
        <v>433</v>
      </c>
      <c r="C8" s="28">
        <v>2</v>
      </c>
      <c r="D8" s="28">
        <v>2</v>
      </c>
      <c r="E8" s="28">
        <v>1</v>
      </c>
      <c r="F8" s="28">
        <v>3</v>
      </c>
      <c r="G8" s="28">
        <f t="shared" si="0"/>
        <v>8</v>
      </c>
      <c r="H8" s="30">
        <f t="shared" si="1"/>
        <v>1</v>
      </c>
      <c r="I8" s="30">
        <f t="shared" si="2"/>
        <v>8</v>
      </c>
      <c r="J8" s="30">
        <v>20</v>
      </c>
      <c r="K8" s="30">
        <f t="shared" si="3"/>
        <v>4.4000000000000004</v>
      </c>
    </row>
    <row r="9" spans="1:11" ht="18" customHeight="1" x14ac:dyDescent="0.25">
      <c r="A9" s="28">
        <v>1</v>
      </c>
      <c r="B9" s="29" t="s">
        <v>846</v>
      </c>
      <c r="C9" s="28">
        <v>3</v>
      </c>
      <c r="D9" s="28">
        <v>2</v>
      </c>
      <c r="E9" s="28">
        <v>2</v>
      </c>
      <c r="F9" s="28">
        <v>2</v>
      </c>
      <c r="G9" s="28">
        <f t="shared" si="0"/>
        <v>9</v>
      </c>
      <c r="H9" s="30">
        <f t="shared" si="1"/>
        <v>1</v>
      </c>
      <c r="I9" s="30">
        <f t="shared" si="2"/>
        <v>9</v>
      </c>
      <c r="J9" s="30">
        <v>20</v>
      </c>
      <c r="K9" s="30">
        <f t="shared" si="3"/>
        <v>5</v>
      </c>
    </row>
    <row r="10" spans="1:11" ht="18" customHeight="1" x14ac:dyDescent="0.25">
      <c r="A10" s="28">
        <v>1</v>
      </c>
      <c r="B10" s="29" t="s">
        <v>374</v>
      </c>
      <c r="C10" s="28">
        <v>2</v>
      </c>
      <c r="D10" s="28">
        <v>2</v>
      </c>
      <c r="E10" s="28">
        <v>2</v>
      </c>
      <c r="F10" s="28">
        <v>3</v>
      </c>
      <c r="G10" s="28">
        <f t="shared" si="0"/>
        <v>9</v>
      </c>
      <c r="H10" s="30">
        <f t="shared" si="1"/>
        <v>1</v>
      </c>
      <c r="I10" s="30">
        <f t="shared" si="2"/>
        <v>9</v>
      </c>
      <c r="J10" s="30">
        <v>20</v>
      </c>
      <c r="K10" s="30">
        <f t="shared" si="3"/>
        <v>5</v>
      </c>
    </row>
    <row r="11" spans="1:11" ht="18" customHeight="1" x14ac:dyDescent="0.25">
      <c r="A11" s="31">
        <v>1</v>
      </c>
      <c r="B11" s="29" t="s">
        <v>848</v>
      </c>
      <c r="C11" s="31">
        <v>2</v>
      </c>
      <c r="D11" s="31">
        <v>2</v>
      </c>
      <c r="E11" s="31">
        <v>2</v>
      </c>
      <c r="F11" s="31">
        <v>3</v>
      </c>
      <c r="G11" s="28">
        <f t="shared" si="0"/>
        <v>9</v>
      </c>
      <c r="H11" s="30">
        <f t="shared" si="1"/>
        <v>1</v>
      </c>
      <c r="I11" s="30">
        <f t="shared" si="2"/>
        <v>9</v>
      </c>
      <c r="J11" s="30">
        <v>20</v>
      </c>
      <c r="K11" s="30">
        <f t="shared" si="3"/>
        <v>5</v>
      </c>
    </row>
    <row r="12" spans="1:11" ht="18" customHeight="1" x14ac:dyDescent="0.25">
      <c r="A12" s="31">
        <v>1</v>
      </c>
      <c r="B12" s="29" t="s">
        <v>849</v>
      </c>
      <c r="C12" s="31">
        <v>1</v>
      </c>
      <c r="D12" s="31">
        <v>1</v>
      </c>
      <c r="E12" s="31">
        <v>1</v>
      </c>
      <c r="F12" s="31">
        <v>1</v>
      </c>
      <c r="G12" s="28">
        <f t="shared" si="0"/>
        <v>4</v>
      </c>
      <c r="H12" s="30">
        <f t="shared" si="1"/>
        <v>1</v>
      </c>
      <c r="I12" s="30">
        <f t="shared" si="2"/>
        <v>4</v>
      </c>
      <c r="J12" s="30">
        <v>20</v>
      </c>
      <c r="K12" s="30">
        <f t="shared" si="3"/>
        <v>2.2000000000000002</v>
      </c>
    </row>
    <row r="13" spans="1:11" ht="18" customHeight="1" x14ac:dyDescent="0.25">
      <c r="A13" s="28">
        <v>1</v>
      </c>
      <c r="B13" s="29" t="s">
        <v>325</v>
      </c>
      <c r="C13" s="28">
        <v>3</v>
      </c>
      <c r="D13" s="28">
        <v>2</v>
      </c>
      <c r="E13" s="28">
        <v>1</v>
      </c>
      <c r="F13" s="28">
        <v>3</v>
      </c>
      <c r="G13" s="28">
        <f t="shared" si="0"/>
        <v>9</v>
      </c>
      <c r="H13" s="30">
        <f t="shared" si="1"/>
        <v>1</v>
      </c>
      <c r="I13" s="30">
        <f t="shared" si="2"/>
        <v>9</v>
      </c>
      <c r="J13" s="30">
        <v>20</v>
      </c>
      <c r="K13" s="30">
        <f t="shared" si="3"/>
        <v>5</v>
      </c>
    </row>
    <row r="14" spans="1:11" ht="18" customHeight="1" x14ac:dyDescent="0.25">
      <c r="A14" s="31">
        <v>1</v>
      </c>
      <c r="B14" s="29" t="s">
        <v>448</v>
      </c>
      <c r="C14" s="31">
        <v>3</v>
      </c>
      <c r="D14" s="31">
        <v>2</v>
      </c>
      <c r="E14" s="31">
        <v>1</v>
      </c>
      <c r="F14" s="31">
        <v>3</v>
      </c>
      <c r="G14" s="28">
        <f t="shared" si="0"/>
        <v>9</v>
      </c>
      <c r="H14" s="30">
        <f t="shared" si="1"/>
        <v>1</v>
      </c>
      <c r="I14" s="30">
        <f t="shared" si="2"/>
        <v>9</v>
      </c>
      <c r="J14" s="30">
        <v>20</v>
      </c>
      <c r="K14" s="30">
        <f t="shared" si="3"/>
        <v>5</v>
      </c>
    </row>
    <row r="15" spans="1:11" ht="18" customHeight="1" x14ac:dyDescent="0.25">
      <c r="A15" s="28">
        <v>1</v>
      </c>
      <c r="B15" s="29" t="s">
        <v>336</v>
      </c>
      <c r="C15" s="28">
        <v>1</v>
      </c>
      <c r="D15" s="28">
        <v>1</v>
      </c>
      <c r="E15" s="28">
        <v>1</v>
      </c>
      <c r="F15" s="28">
        <v>1</v>
      </c>
      <c r="G15" s="28">
        <f t="shared" si="0"/>
        <v>4</v>
      </c>
      <c r="H15" s="30">
        <f t="shared" si="1"/>
        <v>1</v>
      </c>
      <c r="I15" s="30">
        <f t="shared" si="2"/>
        <v>4</v>
      </c>
      <c r="J15" s="30">
        <v>20</v>
      </c>
      <c r="K15" s="30">
        <f t="shared" si="3"/>
        <v>2.2000000000000002</v>
      </c>
    </row>
    <row r="16" spans="1:11" ht="18" customHeight="1" x14ac:dyDescent="0.25">
      <c r="A16" s="31">
        <v>1</v>
      </c>
      <c r="B16" s="29" t="s">
        <v>454</v>
      </c>
      <c r="C16" s="31">
        <v>1</v>
      </c>
      <c r="D16" s="31">
        <v>1</v>
      </c>
      <c r="E16" s="31">
        <v>2</v>
      </c>
      <c r="F16" s="31">
        <v>1</v>
      </c>
      <c r="G16" s="28">
        <f t="shared" si="0"/>
        <v>5</v>
      </c>
      <c r="H16" s="30">
        <f t="shared" si="1"/>
        <v>1</v>
      </c>
      <c r="I16" s="30">
        <f t="shared" si="2"/>
        <v>5</v>
      </c>
      <c r="J16" s="30">
        <v>20</v>
      </c>
      <c r="K16" s="30">
        <f t="shared" si="3"/>
        <v>2.8</v>
      </c>
    </row>
    <row r="17" spans="1:11" ht="18" customHeight="1" x14ac:dyDescent="0.25">
      <c r="A17" s="28">
        <v>1</v>
      </c>
      <c r="B17" s="29" t="s">
        <v>456</v>
      </c>
      <c r="C17" s="28">
        <v>1</v>
      </c>
      <c r="D17" s="28">
        <v>1</v>
      </c>
      <c r="E17" s="28">
        <v>2</v>
      </c>
      <c r="F17" s="28">
        <v>1</v>
      </c>
      <c r="G17" s="28">
        <f t="shared" si="0"/>
        <v>5</v>
      </c>
      <c r="H17" s="30">
        <f t="shared" si="1"/>
        <v>1</v>
      </c>
      <c r="I17" s="30">
        <f t="shared" si="2"/>
        <v>5</v>
      </c>
      <c r="J17" s="30">
        <v>20</v>
      </c>
      <c r="K17" s="30">
        <f t="shared" si="3"/>
        <v>2.8</v>
      </c>
    </row>
    <row r="18" spans="1:11" ht="18" customHeight="1" x14ac:dyDescent="0.25">
      <c r="A18" s="31">
        <v>1</v>
      </c>
      <c r="B18" s="29" t="s">
        <v>463</v>
      </c>
      <c r="C18" s="31">
        <v>1</v>
      </c>
      <c r="D18" s="31">
        <v>1</v>
      </c>
      <c r="E18" s="31">
        <v>2</v>
      </c>
      <c r="F18" s="31">
        <v>1</v>
      </c>
      <c r="G18" s="28">
        <f t="shared" si="0"/>
        <v>5</v>
      </c>
      <c r="H18" s="30">
        <f t="shared" si="1"/>
        <v>1</v>
      </c>
      <c r="I18" s="30">
        <f t="shared" si="2"/>
        <v>5</v>
      </c>
      <c r="J18" s="30">
        <v>20</v>
      </c>
      <c r="K18" s="30">
        <f t="shared" si="3"/>
        <v>2.8</v>
      </c>
    </row>
    <row r="19" spans="1:11" ht="18" customHeight="1" x14ac:dyDescent="0.25">
      <c r="A19" s="28">
        <v>1</v>
      </c>
      <c r="B19" s="29" t="s">
        <v>465</v>
      </c>
      <c r="C19" s="28">
        <v>3</v>
      </c>
      <c r="D19" s="28">
        <v>2</v>
      </c>
      <c r="E19" s="28">
        <v>2</v>
      </c>
      <c r="F19" s="28">
        <v>2</v>
      </c>
      <c r="G19" s="28">
        <f t="shared" si="0"/>
        <v>9</v>
      </c>
      <c r="H19" s="30">
        <f t="shared" si="1"/>
        <v>1</v>
      </c>
      <c r="I19" s="30">
        <f t="shared" si="2"/>
        <v>9</v>
      </c>
      <c r="J19" s="30">
        <v>20</v>
      </c>
      <c r="K19" s="30">
        <f t="shared" si="3"/>
        <v>5</v>
      </c>
    </row>
    <row r="20" spans="1:11" ht="18" customHeight="1" x14ac:dyDescent="0.25">
      <c r="A20" s="28">
        <v>1</v>
      </c>
      <c r="B20" s="29" t="s">
        <v>855</v>
      </c>
      <c r="C20" s="28">
        <v>1</v>
      </c>
      <c r="D20" s="28">
        <v>1</v>
      </c>
      <c r="E20" s="28">
        <v>2</v>
      </c>
      <c r="F20" s="28">
        <v>1</v>
      </c>
      <c r="G20" s="28">
        <f t="shared" si="0"/>
        <v>5</v>
      </c>
      <c r="H20" s="30">
        <f t="shared" si="1"/>
        <v>1</v>
      </c>
      <c r="I20" s="30">
        <f t="shared" si="2"/>
        <v>5</v>
      </c>
      <c r="J20" s="30">
        <v>20</v>
      </c>
      <c r="K20" s="30">
        <f t="shared" si="3"/>
        <v>2.8</v>
      </c>
    </row>
    <row r="21" spans="1:11" ht="18" customHeight="1" x14ac:dyDescent="0.25">
      <c r="A21" s="31">
        <v>1</v>
      </c>
      <c r="B21" s="29" t="s">
        <v>477</v>
      </c>
      <c r="C21" s="31">
        <v>3</v>
      </c>
      <c r="D21" s="31">
        <v>2</v>
      </c>
      <c r="E21" s="31">
        <v>2</v>
      </c>
      <c r="F21" s="31">
        <v>2</v>
      </c>
      <c r="G21" s="28">
        <f t="shared" si="0"/>
        <v>9</v>
      </c>
      <c r="H21" s="30">
        <f t="shared" si="1"/>
        <v>1</v>
      </c>
      <c r="I21" s="30">
        <f t="shared" si="2"/>
        <v>9</v>
      </c>
      <c r="J21" s="30">
        <v>20</v>
      </c>
      <c r="K21" s="30">
        <f t="shared" si="3"/>
        <v>5</v>
      </c>
    </row>
    <row r="22" spans="1:11" ht="18" customHeight="1" x14ac:dyDescent="0.25">
      <c r="A22" s="28">
        <v>1</v>
      </c>
      <c r="B22" s="29" t="s">
        <v>856</v>
      </c>
      <c r="C22" s="28">
        <v>1</v>
      </c>
      <c r="D22" s="28">
        <v>1</v>
      </c>
      <c r="E22" s="28">
        <v>2</v>
      </c>
      <c r="F22" s="28">
        <v>1</v>
      </c>
      <c r="G22" s="28">
        <f t="shared" si="0"/>
        <v>5</v>
      </c>
      <c r="H22" s="30">
        <f t="shared" si="1"/>
        <v>1</v>
      </c>
      <c r="I22" s="30">
        <f t="shared" si="2"/>
        <v>5</v>
      </c>
      <c r="J22" s="30">
        <v>20</v>
      </c>
      <c r="K22" s="30">
        <f t="shared" si="3"/>
        <v>2.8</v>
      </c>
    </row>
    <row r="23" spans="1:11" ht="18" customHeight="1" x14ac:dyDescent="0.25">
      <c r="A23" s="31">
        <v>1</v>
      </c>
      <c r="B23" s="29" t="s">
        <v>486</v>
      </c>
      <c r="C23" s="31">
        <v>1</v>
      </c>
      <c r="D23" s="31">
        <v>1</v>
      </c>
      <c r="E23" s="31">
        <v>2</v>
      </c>
      <c r="F23" s="31">
        <v>1</v>
      </c>
      <c r="G23" s="28">
        <f t="shared" si="0"/>
        <v>5</v>
      </c>
      <c r="H23" s="30">
        <f t="shared" si="1"/>
        <v>1</v>
      </c>
      <c r="I23" s="30">
        <f t="shared" si="2"/>
        <v>5</v>
      </c>
      <c r="J23" s="30">
        <v>20</v>
      </c>
      <c r="K23" s="30">
        <f t="shared" si="3"/>
        <v>2.8</v>
      </c>
    </row>
    <row r="24" spans="1:11" ht="18" customHeight="1" x14ac:dyDescent="0.25">
      <c r="A24" s="28">
        <v>1</v>
      </c>
      <c r="B24" s="29" t="s">
        <v>604</v>
      </c>
      <c r="C24" s="28">
        <v>1</v>
      </c>
      <c r="D24" s="28">
        <v>1</v>
      </c>
      <c r="E24" s="28">
        <v>1</v>
      </c>
      <c r="F24" s="28">
        <v>1</v>
      </c>
      <c r="G24" s="28">
        <f t="shared" si="0"/>
        <v>4</v>
      </c>
      <c r="H24" s="30">
        <f t="shared" si="1"/>
        <v>1</v>
      </c>
      <c r="I24" s="30">
        <f t="shared" si="2"/>
        <v>4</v>
      </c>
      <c r="J24" s="30">
        <v>20</v>
      </c>
      <c r="K24" s="30">
        <f t="shared" si="3"/>
        <v>2.2000000000000002</v>
      </c>
    </row>
    <row r="25" spans="1:11" ht="18" customHeight="1" x14ac:dyDescent="0.25">
      <c r="A25" s="31">
        <v>1</v>
      </c>
      <c r="B25" s="29" t="s">
        <v>488</v>
      </c>
      <c r="C25" s="31">
        <v>1</v>
      </c>
      <c r="D25" s="31">
        <v>1</v>
      </c>
      <c r="E25" s="31">
        <v>2</v>
      </c>
      <c r="F25" s="31">
        <v>1</v>
      </c>
      <c r="G25" s="28">
        <f t="shared" si="0"/>
        <v>5</v>
      </c>
      <c r="H25" s="30">
        <f t="shared" si="1"/>
        <v>1</v>
      </c>
      <c r="I25" s="30">
        <f t="shared" si="2"/>
        <v>5</v>
      </c>
      <c r="J25" s="30">
        <v>20</v>
      </c>
      <c r="K25" s="30">
        <f t="shared" si="3"/>
        <v>2.8</v>
      </c>
    </row>
    <row r="26" spans="1:11" ht="18" customHeight="1" x14ac:dyDescent="0.25">
      <c r="A26" s="28">
        <v>1</v>
      </c>
      <c r="B26" s="29" t="s">
        <v>490</v>
      </c>
      <c r="C26" s="28">
        <v>1</v>
      </c>
      <c r="D26" s="28">
        <v>1</v>
      </c>
      <c r="E26" s="28">
        <v>1</v>
      </c>
      <c r="F26" s="28">
        <v>1</v>
      </c>
      <c r="G26" s="28">
        <f t="shared" si="0"/>
        <v>4</v>
      </c>
      <c r="H26" s="30">
        <f t="shared" si="1"/>
        <v>1</v>
      </c>
      <c r="I26" s="30">
        <f t="shared" si="2"/>
        <v>4</v>
      </c>
      <c r="J26" s="30">
        <v>20</v>
      </c>
      <c r="K26" s="30">
        <f t="shared" si="3"/>
        <v>2.2000000000000002</v>
      </c>
    </row>
    <row r="27" spans="1:11" ht="18" customHeight="1" x14ac:dyDescent="0.25">
      <c r="A27" s="31">
        <v>1</v>
      </c>
      <c r="B27" s="29" t="s">
        <v>497</v>
      </c>
      <c r="C27" s="31">
        <v>3</v>
      </c>
      <c r="D27" s="31">
        <v>2</v>
      </c>
      <c r="E27" s="31">
        <v>2</v>
      </c>
      <c r="F27" s="31">
        <v>2</v>
      </c>
      <c r="G27" s="28">
        <f t="shared" si="0"/>
        <v>9</v>
      </c>
      <c r="H27" s="30">
        <f t="shared" si="1"/>
        <v>1</v>
      </c>
      <c r="I27" s="30">
        <f t="shared" si="2"/>
        <v>9</v>
      </c>
      <c r="J27" s="30">
        <v>20</v>
      </c>
      <c r="K27" s="30">
        <f t="shared" si="3"/>
        <v>5</v>
      </c>
    </row>
    <row r="28" spans="1:11" ht="18" customHeight="1" x14ac:dyDescent="0.25">
      <c r="A28" s="28">
        <v>1</v>
      </c>
      <c r="B28" s="29" t="s">
        <v>499</v>
      </c>
      <c r="C28" s="28">
        <v>1</v>
      </c>
      <c r="D28" s="28">
        <v>1</v>
      </c>
      <c r="E28" s="28">
        <v>2</v>
      </c>
      <c r="F28" s="28">
        <v>1</v>
      </c>
      <c r="G28" s="28">
        <f t="shared" si="0"/>
        <v>5</v>
      </c>
      <c r="H28" s="30">
        <f t="shared" si="1"/>
        <v>1</v>
      </c>
      <c r="I28" s="30">
        <f t="shared" si="2"/>
        <v>5</v>
      </c>
      <c r="J28" s="30">
        <v>20</v>
      </c>
      <c r="K28" s="30">
        <f t="shared" si="3"/>
        <v>2.8</v>
      </c>
    </row>
    <row r="29" spans="1:11" ht="18" customHeight="1" x14ac:dyDescent="0.25">
      <c r="A29" s="31">
        <v>1</v>
      </c>
      <c r="B29" s="29" t="s">
        <v>501</v>
      </c>
      <c r="C29" s="31">
        <v>3</v>
      </c>
      <c r="D29" s="31">
        <v>2</v>
      </c>
      <c r="E29" s="31">
        <v>2</v>
      </c>
      <c r="F29" s="31">
        <v>2</v>
      </c>
      <c r="G29" s="28">
        <f t="shared" si="0"/>
        <v>9</v>
      </c>
      <c r="H29" s="30">
        <f t="shared" si="1"/>
        <v>1</v>
      </c>
      <c r="I29" s="30">
        <f t="shared" si="2"/>
        <v>9</v>
      </c>
      <c r="J29" s="30">
        <v>20</v>
      </c>
      <c r="K29" s="30">
        <f t="shared" si="3"/>
        <v>5</v>
      </c>
    </row>
    <row r="30" spans="1:11" ht="18" customHeight="1" x14ac:dyDescent="0.25">
      <c r="A30" s="28">
        <v>1</v>
      </c>
      <c r="B30" s="29" t="s">
        <v>503</v>
      </c>
      <c r="C30" s="28">
        <v>2</v>
      </c>
      <c r="D30" s="28">
        <v>2</v>
      </c>
      <c r="E30" s="28">
        <v>2</v>
      </c>
      <c r="F30" s="28">
        <v>3</v>
      </c>
      <c r="G30" s="28">
        <f t="shared" si="0"/>
        <v>9</v>
      </c>
      <c r="H30" s="30">
        <f t="shared" si="1"/>
        <v>1</v>
      </c>
      <c r="I30" s="30">
        <f t="shared" si="2"/>
        <v>9</v>
      </c>
      <c r="J30" s="30">
        <v>20</v>
      </c>
      <c r="K30" s="30">
        <f t="shared" si="3"/>
        <v>5</v>
      </c>
    </row>
    <row r="31" spans="1:11" ht="18" customHeight="1" x14ac:dyDescent="0.25">
      <c r="A31" s="31">
        <v>1</v>
      </c>
      <c r="B31" s="29" t="s">
        <v>505</v>
      </c>
      <c r="C31" s="31">
        <v>1</v>
      </c>
      <c r="D31" s="31">
        <v>1</v>
      </c>
      <c r="E31" s="31">
        <v>2</v>
      </c>
      <c r="F31" s="31">
        <v>1</v>
      </c>
      <c r="G31" s="28">
        <f t="shared" si="0"/>
        <v>5</v>
      </c>
      <c r="H31" s="30">
        <f t="shared" si="1"/>
        <v>1</v>
      </c>
      <c r="I31" s="30">
        <f t="shared" si="2"/>
        <v>5</v>
      </c>
      <c r="J31" s="30">
        <v>20</v>
      </c>
      <c r="K31" s="30">
        <f t="shared" si="3"/>
        <v>2.8</v>
      </c>
    </row>
    <row r="32" spans="1:11" ht="18" customHeight="1" x14ac:dyDescent="0.25">
      <c r="A32" s="28">
        <v>1</v>
      </c>
      <c r="B32" s="29" t="s">
        <v>517</v>
      </c>
      <c r="C32" s="28">
        <v>1</v>
      </c>
      <c r="D32" s="28">
        <v>1</v>
      </c>
      <c r="E32" s="28">
        <v>2</v>
      </c>
      <c r="F32" s="28">
        <v>1</v>
      </c>
      <c r="G32" s="28">
        <f t="shared" si="0"/>
        <v>5</v>
      </c>
      <c r="H32" s="30">
        <f t="shared" si="1"/>
        <v>1</v>
      </c>
      <c r="I32" s="30">
        <f t="shared" si="2"/>
        <v>5</v>
      </c>
      <c r="J32" s="30">
        <v>20</v>
      </c>
      <c r="K32" s="30">
        <f t="shared" si="3"/>
        <v>2.8</v>
      </c>
    </row>
    <row r="33" spans="1:11" ht="18" customHeight="1" x14ac:dyDescent="0.25">
      <c r="A33" s="31">
        <v>1</v>
      </c>
      <c r="B33" s="29" t="s">
        <v>519</v>
      </c>
      <c r="C33" s="31">
        <v>3</v>
      </c>
      <c r="D33" s="31">
        <v>2</v>
      </c>
      <c r="E33" s="31">
        <v>2</v>
      </c>
      <c r="F33" s="31">
        <v>2</v>
      </c>
      <c r="G33" s="28">
        <f t="shared" si="0"/>
        <v>9</v>
      </c>
      <c r="H33" s="30">
        <f t="shared" si="1"/>
        <v>1</v>
      </c>
      <c r="I33" s="30">
        <f t="shared" si="2"/>
        <v>9</v>
      </c>
      <c r="J33" s="30">
        <v>20</v>
      </c>
      <c r="K33" s="30">
        <f t="shared" si="3"/>
        <v>5</v>
      </c>
    </row>
    <row r="34" spans="1:11" ht="18" customHeight="1" x14ac:dyDescent="0.25">
      <c r="A34" s="28">
        <v>1</v>
      </c>
      <c r="B34" s="29" t="s">
        <v>521</v>
      </c>
      <c r="C34" s="28">
        <v>1</v>
      </c>
      <c r="D34" s="28">
        <v>1</v>
      </c>
      <c r="E34" s="28">
        <v>2</v>
      </c>
      <c r="F34" s="28">
        <v>1</v>
      </c>
      <c r="G34" s="28">
        <f t="shared" si="0"/>
        <v>5</v>
      </c>
      <c r="H34" s="30">
        <f t="shared" si="1"/>
        <v>1</v>
      </c>
      <c r="I34" s="30">
        <f t="shared" si="2"/>
        <v>5</v>
      </c>
      <c r="J34" s="30">
        <v>20</v>
      </c>
      <c r="K34" s="30">
        <f t="shared" si="3"/>
        <v>2.8</v>
      </c>
    </row>
    <row r="35" spans="1:11" ht="18" customHeight="1" x14ac:dyDescent="0.25">
      <c r="A35" s="31">
        <v>1</v>
      </c>
      <c r="B35" s="29" t="s">
        <v>529</v>
      </c>
      <c r="C35" s="31">
        <v>1</v>
      </c>
      <c r="D35" s="31">
        <v>1</v>
      </c>
      <c r="E35" s="31">
        <v>2</v>
      </c>
      <c r="F35" s="31">
        <v>1</v>
      </c>
      <c r="G35" s="28">
        <f t="shared" si="0"/>
        <v>5</v>
      </c>
      <c r="H35" s="30">
        <f t="shared" si="1"/>
        <v>1</v>
      </c>
      <c r="I35" s="30">
        <f t="shared" si="2"/>
        <v>5</v>
      </c>
      <c r="J35" s="30">
        <v>20</v>
      </c>
      <c r="K35" s="30">
        <f t="shared" si="3"/>
        <v>2.8</v>
      </c>
    </row>
    <row r="36" spans="1:11" ht="18" customHeight="1" x14ac:dyDescent="0.25">
      <c r="A36" s="28">
        <v>1</v>
      </c>
      <c r="B36" s="29" t="s">
        <v>531</v>
      </c>
      <c r="C36" s="28">
        <v>1</v>
      </c>
      <c r="D36" s="28">
        <v>1</v>
      </c>
      <c r="E36" s="28">
        <v>2</v>
      </c>
      <c r="F36" s="28">
        <v>1</v>
      </c>
      <c r="G36" s="28">
        <f t="shared" si="0"/>
        <v>5</v>
      </c>
      <c r="H36" s="30">
        <f t="shared" si="1"/>
        <v>1</v>
      </c>
      <c r="I36" s="30">
        <f t="shared" si="2"/>
        <v>5</v>
      </c>
      <c r="J36" s="30">
        <v>20</v>
      </c>
      <c r="K36" s="30">
        <f t="shared" si="3"/>
        <v>2.8</v>
      </c>
    </row>
    <row r="37" spans="1:11" ht="18" customHeight="1" x14ac:dyDescent="0.25">
      <c r="A37" s="31">
        <v>1</v>
      </c>
      <c r="B37" s="29" t="s">
        <v>533</v>
      </c>
      <c r="C37" s="31">
        <v>1</v>
      </c>
      <c r="D37" s="31">
        <v>2</v>
      </c>
      <c r="E37" s="31">
        <v>2</v>
      </c>
      <c r="F37" s="31">
        <v>1</v>
      </c>
      <c r="G37" s="28">
        <f t="shared" si="0"/>
        <v>6</v>
      </c>
      <c r="H37" s="30">
        <f t="shared" si="1"/>
        <v>1</v>
      </c>
      <c r="I37" s="30">
        <f t="shared" si="2"/>
        <v>6</v>
      </c>
      <c r="J37" s="30">
        <v>20</v>
      </c>
      <c r="K37" s="30">
        <f t="shared" si="3"/>
        <v>3.3</v>
      </c>
    </row>
    <row r="38" spans="1:11" ht="18" customHeight="1" x14ac:dyDescent="0.25">
      <c r="A38" s="28">
        <v>1</v>
      </c>
      <c r="B38" s="29" t="s">
        <v>540</v>
      </c>
      <c r="C38" s="28">
        <v>1</v>
      </c>
      <c r="D38" s="28">
        <v>1</v>
      </c>
      <c r="E38" s="28">
        <v>2</v>
      </c>
      <c r="F38" s="28">
        <v>1</v>
      </c>
      <c r="G38" s="28">
        <f t="shared" si="0"/>
        <v>5</v>
      </c>
      <c r="H38" s="30">
        <f t="shared" si="1"/>
        <v>1</v>
      </c>
      <c r="I38" s="30">
        <f t="shared" si="2"/>
        <v>5</v>
      </c>
      <c r="J38" s="30">
        <v>20</v>
      </c>
      <c r="K38" s="30">
        <f t="shared" si="3"/>
        <v>2.8</v>
      </c>
    </row>
    <row r="39" spans="1:11" ht="18" customHeight="1" x14ac:dyDescent="0.25">
      <c r="A39" s="31">
        <v>1</v>
      </c>
      <c r="B39" s="29" t="s">
        <v>542</v>
      </c>
      <c r="C39" s="31">
        <v>3</v>
      </c>
      <c r="D39" s="31">
        <v>2</v>
      </c>
      <c r="E39" s="31">
        <v>2</v>
      </c>
      <c r="F39" s="31">
        <v>2</v>
      </c>
      <c r="G39" s="28">
        <f t="shared" si="0"/>
        <v>9</v>
      </c>
      <c r="H39" s="30">
        <f t="shared" si="1"/>
        <v>1</v>
      </c>
      <c r="I39" s="30">
        <f t="shared" si="2"/>
        <v>9</v>
      </c>
      <c r="J39" s="30">
        <v>20</v>
      </c>
      <c r="K39" s="30">
        <f t="shared" si="3"/>
        <v>5</v>
      </c>
    </row>
    <row r="40" spans="1:11" ht="18" customHeight="1" x14ac:dyDescent="0.25">
      <c r="A40" s="28">
        <v>1</v>
      </c>
      <c r="B40" s="29" t="s">
        <v>333</v>
      </c>
      <c r="C40" s="28">
        <v>3</v>
      </c>
      <c r="D40" s="28">
        <v>2</v>
      </c>
      <c r="E40" s="28">
        <v>2</v>
      </c>
      <c r="F40" s="28">
        <v>2</v>
      </c>
      <c r="G40" s="28">
        <f t="shared" si="0"/>
        <v>9</v>
      </c>
      <c r="H40" s="30">
        <f t="shared" si="1"/>
        <v>1</v>
      </c>
      <c r="I40" s="30">
        <f t="shared" si="2"/>
        <v>9</v>
      </c>
      <c r="J40" s="30">
        <v>20</v>
      </c>
      <c r="K40" s="30">
        <f t="shared" si="3"/>
        <v>5</v>
      </c>
    </row>
    <row r="41" spans="1:11" ht="18" customHeight="1" x14ac:dyDescent="0.25">
      <c r="A41" s="31">
        <v>1</v>
      </c>
      <c r="B41" s="29" t="s">
        <v>551</v>
      </c>
      <c r="C41" s="31">
        <v>1</v>
      </c>
      <c r="D41" s="31">
        <v>1</v>
      </c>
      <c r="E41" s="31">
        <v>2</v>
      </c>
      <c r="F41" s="31">
        <v>1</v>
      </c>
      <c r="G41" s="28">
        <f t="shared" si="0"/>
        <v>5</v>
      </c>
      <c r="H41" s="30">
        <f t="shared" si="1"/>
        <v>1</v>
      </c>
      <c r="I41" s="30">
        <f t="shared" si="2"/>
        <v>5</v>
      </c>
      <c r="J41" s="30">
        <v>20</v>
      </c>
      <c r="K41" s="30">
        <f t="shared" si="3"/>
        <v>2.8</v>
      </c>
    </row>
    <row r="42" spans="1:11" ht="30" customHeight="1" x14ac:dyDescent="0.25">
      <c r="A42" s="38" t="s">
        <v>879</v>
      </c>
      <c r="B42" s="39"/>
      <c r="C42" s="39"/>
      <c r="D42" s="39"/>
      <c r="E42" s="39"/>
      <c r="F42" s="39"/>
      <c r="G42" s="39"/>
      <c r="H42" s="39"/>
      <c r="I42" s="39"/>
      <c r="J42" s="40"/>
      <c r="K42" s="30">
        <f>SUM(K6:K41)</f>
        <v>132.29999999999998</v>
      </c>
    </row>
    <row r="43" spans="1:11" ht="33.75" customHeight="1" x14ac:dyDescent="0.25">
      <c r="A43" s="41" t="s">
        <v>806</v>
      </c>
      <c r="B43" s="42"/>
      <c r="C43" s="42"/>
      <c r="D43" s="42"/>
      <c r="E43" s="42"/>
      <c r="F43" s="42"/>
      <c r="G43" s="42"/>
      <c r="H43" s="42"/>
      <c r="I43" s="42"/>
      <c r="J43" s="42"/>
      <c r="K43" s="43"/>
    </row>
    <row r="44" spans="1:11" ht="18" customHeight="1" x14ac:dyDescent="0.25">
      <c r="A44" s="28">
        <v>2</v>
      </c>
      <c r="B44" s="29" t="s">
        <v>431</v>
      </c>
      <c r="C44" s="28">
        <v>2</v>
      </c>
      <c r="D44" s="28">
        <v>1</v>
      </c>
      <c r="E44" s="28">
        <v>1</v>
      </c>
      <c r="F44" s="28">
        <v>3</v>
      </c>
      <c r="G44" s="28">
        <f>SUM(C44:F44)</f>
        <v>7</v>
      </c>
      <c r="H44" s="30">
        <f t="shared" ref="H44:H83" si="4">IF(ISNUMBER(J44),  IF(J44&lt;=11, 2,    IF(J44&lt;24,1,   0.5)), "chưa có ed")</f>
        <v>1</v>
      </c>
      <c r="I44" s="30">
        <f>G44*H44</f>
        <v>7</v>
      </c>
      <c r="J44" s="30">
        <v>20</v>
      </c>
      <c r="K44" s="30">
        <f t="shared" ref="K44:K83" si="5">ROUND((I44*J44)/36, 1)</f>
        <v>3.9</v>
      </c>
    </row>
    <row r="45" spans="1:11" ht="18" customHeight="1" x14ac:dyDescent="0.25">
      <c r="A45" s="31">
        <v>2</v>
      </c>
      <c r="B45" s="29" t="s">
        <v>850</v>
      </c>
      <c r="C45" s="31">
        <v>3</v>
      </c>
      <c r="D45" s="31">
        <v>2</v>
      </c>
      <c r="E45" s="31">
        <v>1</v>
      </c>
      <c r="F45" s="31">
        <v>1</v>
      </c>
      <c r="G45" s="28">
        <f t="shared" ref="G45:G83" si="6">SUM(C45:F45)</f>
        <v>7</v>
      </c>
      <c r="H45" s="30">
        <f t="shared" si="4"/>
        <v>1</v>
      </c>
      <c r="I45" s="30">
        <f t="shared" ref="I45:I83" si="7">G45*H45</f>
        <v>7</v>
      </c>
      <c r="J45" s="30">
        <v>20</v>
      </c>
      <c r="K45" s="30">
        <f t="shared" si="5"/>
        <v>3.9</v>
      </c>
    </row>
    <row r="46" spans="1:11" ht="18" customHeight="1" x14ac:dyDescent="0.25">
      <c r="A46" s="28">
        <v>2</v>
      </c>
      <c r="B46" s="29" t="s">
        <v>348</v>
      </c>
      <c r="C46" s="28">
        <v>1</v>
      </c>
      <c r="D46" s="28">
        <v>1</v>
      </c>
      <c r="E46" s="28">
        <v>2</v>
      </c>
      <c r="F46" s="28">
        <v>1</v>
      </c>
      <c r="G46" s="28">
        <f t="shared" si="6"/>
        <v>5</v>
      </c>
      <c r="H46" s="30">
        <f t="shared" si="4"/>
        <v>1</v>
      </c>
      <c r="I46" s="30">
        <f t="shared" si="7"/>
        <v>5</v>
      </c>
      <c r="J46" s="30">
        <v>20</v>
      </c>
      <c r="K46" s="30">
        <f t="shared" si="5"/>
        <v>2.8</v>
      </c>
    </row>
    <row r="47" spans="1:11" ht="18" customHeight="1" x14ac:dyDescent="0.25">
      <c r="A47" s="31">
        <v>2</v>
      </c>
      <c r="B47" s="29" t="s">
        <v>352</v>
      </c>
      <c r="C47" s="31">
        <v>1</v>
      </c>
      <c r="D47" s="31">
        <v>2</v>
      </c>
      <c r="E47" s="31">
        <v>2</v>
      </c>
      <c r="F47" s="31">
        <v>1</v>
      </c>
      <c r="G47" s="28">
        <f t="shared" si="6"/>
        <v>6</v>
      </c>
      <c r="H47" s="30">
        <f t="shared" si="4"/>
        <v>1</v>
      </c>
      <c r="I47" s="30">
        <f t="shared" si="7"/>
        <v>6</v>
      </c>
      <c r="J47" s="30">
        <v>20</v>
      </c>
      <c r="K47" s="30">
        <f t="shared" si="5"/>
        <v>3.3</v>
      </c>
    </row>
    <row r="48" spans="1:11" ht="18" customHeight="1" x14ac:dyDescent="0.25">
      <c r="A48" s="28">
        <v>2</v>
      </c>
      <c r="B48" s="29" t="s">
        <v>329</v>
      </c>
      <c r="C48" s="28">
        <v>1</v>
      </c>
      <c r="D48" s="28">
        <v>1</v>
      </c>
      <c r="E48" s="28">
        <v>2</v>
      </c>
      <c r="F48" s="28">
        <v>1</v>
      </c>
      <c r="G48" s="28">
        <f t="shared" si="6"/>
        <v>5</v>
      </c>
      <c r="H48" s="30">
        <f t="shared" si="4"/>
        <v>1</v>
      </c>
      <c r="I48" s="30">
        <f t="shared" si="7"/>
        <v>5</v>
      </c>
      <c r="J48" s="30">
        <v>20</v>
      </c>
      <c r="K48" s="30">
        <f t="shared" si="5"/>
        <v>2.8</v>
      </c>
    </row>
    <row r="49" spans="1:11" ht="18" customHeight="1" x14ac:dyDescent="0.25">
      <c r="A49" s="31">
        <v>2</v>
      </c>
      <c r="B49" s="29" t="s">
        <v>330</v>
      </c>
      <c r="C49" s="31">
        <v>1</v>
      </c>
      <c r="D49" s="31">
        <v>2</v>
      </c>
      <c r="E49" s="31">
        <v>2</v>
      </c>
      <c r="F49" s="31">
        <v>1</v>
      </c>
      <c r="G49" s="28">
        <f t="shared" si="6"/>
        <v>6</v>
      </c>
      <c r="H49" s="30">
        <f t="shared" si="4"/>
        <v>1</v>
      </c>
      <c r="I49" s="30">
        <f t="shared" si="7"/>
        <v>6</v>
      </c>
      <c r="J49" s="30">
        <v>20</v>
      </c>
      <c r="K49" s="30">
        <f t="shared" si="5"/>
        <v>3.3</v>
      </c>
    </row>
    <row r="50" spans="1:11" ht="18" customHeight="1" x14ac:dyDescent="0.25">
      <c r="A50" s="28">
        <v>2</v>
      </c>
      <c r="B50" s="29" t="s">
        <v>852</v>
      </c>
      <c r="C50" s="28">
        <v>1</v>
      </c>
      <c r="D50" s="28">
        <v>1</v>
      </c>
      <c r="E50" s="28">
        <v>2</v>
      </c>
      <c r="F50" s="28">
        <v>1</v>
      </c>
      <c r="G50" s="28">
        <f t="shared" si="6"/>
        <v>5</v>
      </c>
      <c r="H50" s="30">
        <f t="shared" si="4"/>
        <v>1</v>
      </c>
      <c r="I50" s="30">
        <f t="shared" si="7"/>
        <v>5</v>
      </c>
      <c r="J50" s="30">
        <v>20</v>
      </c>
      <c r="K50" s="30">
        <f t="shared" si="5"/>
        <v>2.8</v>
      </c>
    </row>
    <row r="51" spans="1:11" ht="18" customHeight="1" x14ac:dyDescent="0.25">
      <c r="A51" s="31">
        <v>2</v>
      </c>
      <c r="B51" s="29" t="s">
        <v>356</v>
      </c>
      <c r="C51" s="31">
        <v>1</v>
      </c>
      <c r="D51" s="31">
        <v>2</v>
      </c>
      <c r="E51" s="31">
        <v>3</v>
      </c>
      <c r="F51" s="31">
        <v>1</v>
      </c>
      <c r="G51" s="28">
        <f t="shared" si="6"/>
        <v>7</v>
      </c>
      <c r="H51" s="30">
        <f t="shared" si="4"/>
        <v>1</v>
      </c>
      <c r="I51" s="30">
        <f t="shared" si="7"/>
        <v>7</v>
      </c>
      <c r="J51" s="30">
        <v>20</v>
      </c>
      <c r="K51" s="30">
        <f t="shared" si="5"/>
        <v>3.9</v>
      </c>
    </row>
    <row r="52" spans="1:11" ht="18" customHeight="1" x14ac:dyDescent="0.25">
      <c r="A52" s="28">
        <v>2</v>
      </c>
      <c r="B52" s="29" t="s">
        <v>469</v>
      </c>
      <c r="C52" s="28">
        <v>1</v>
      </c>
      <c r="D52" s="28">
        <v>1</v>
      </c>
      <c r="E52" s="28">
        <v>2</v>
      </c>
      <c r="F52" s="28">
        <v>1</v>
      </c>
      <c r="G52" s="28">
        <f t="shared" si="6"/>
        <v>5</v>
      </c>
      <c r="H52" s="30">
        <f t="shared" si="4"/>
        <v>1</v>
      </c>
      <c r="I52" s="30">
        <f t="shared" si="7"/>
        <v>5</v>
      </c>
      <c r="J52" s="30">
        <v>20</v>
      </c>
      <c r="K52" s="30">
        <f t="shared" si="5"/>
        <v>2.8</v>
      </c>
    </row>
    <row r="53" spans="1:11" ht="18" customHeight="1" x14ac:dyDescent="0.25">
      <c r="A53" s="31">
        <v>2</v>
      </c>
      <c r="B53" s="29" t="s">
        <v>854</v>
      </c>
      <c r="C53" s="31">
        <v>1</v>
      </c>
      <c r="D53" s="31">
        <v>2</v>
      </c>
      <c r="E53" s="31">
        <v>2</v>
      </c>
      <c r="F53" s="31">
        <v>1</v>
      </c>
      <c r="G53" s="28">
        <f t="shared" si="6"/>
        <v>6</v>
      </c>
      <c r="H53" s="30">
        <f t="shared" si="4"/>
        <v>1</v>
      </c>
      <c r="I53" s="30">
        <f t="shared" si="7"/>
        <v>6</v>
      </c>
      <c r="J53" s="30">
        <v>20</v>
      </c>
      <c r="K53" s="30">
        <f t="shared" si="5"/>
        <v>3.3</v>
      </c>
    </row>
    <row r="54" spans="1:11" ht="18" customHeight="1" x14ac:dyDescent="0.25">
      <c r="A54" s="28">
        <v>2</v>
      </c>
      <c r="B54" s="29" t="s">
        <v>481</v>
      </c>
      <c r="C54" s="28">
        <v>3</v>
      </c>
      <c r="D54" s="28">
        <v>2</v>
      </c>
      <c r="E54" s="28">
        <v>2</v>
      </c>
      <c r="F54" s="28">
        <v>2</v>
      </c>
      <c r="G54" s="28">
        <f t="shared" si="6"/>
        <v>9</v>
      </c>
      <c r="H54" s="30">
        <f t="shared" si="4"/>
        <v>1</v>
      </c>
      <c r="I54" s="30">
        <f t="shared" si="7"/>
        <v>9</v>
      </c>
      <c r="J54" s="30">
        <v>20</v>
      </c>
      <c r="K54" s="30">
        <f t="shared" si="5"/>
        <v>5</v>
      </c>
    </row>
    <row r="55" spans="1:11" ht="18" customHeight="1" x14ac:dyDescent="0.25">
      <c r="A55" s="28">
        <v>2</v>
      </c>
      <c r="B55" s="29" t="s">
        <v>858</v>
      </c>
      <c r="C55" s="28">
        <v>1</v>
      </c>
      <c r="D55" s="28">
        <v>2</v>
      </c>
      <c r="E55" s="28">
        <v>2</v>
      </c>
      <c r="F55" s="28">
        <v>1</v>
      </c>
      <c r="G55" s="28">
        <f t="shared" si="6"/>
        <v>6</v>
      </c>
      <c r="H55" s="30">
        <f t="shared" si="4"/>
        <v>1</v>
      </c>
      <c r="I55" s="30">
        <f t="shared" si="7"/>
        <v>6</v>
      </c>
      <c r="J55" s="30">
        <v>20</v>
      </c>
      <c r="K55" s="30">
        <f t="shared" si="5"/>
        <v>3.3</v>
      </c>
    </row>
    <row r="56" spans="1:11" ht="18" customHeight="1" x14ac:dyDescent="0.25">
      <c r="A56" s="31">
        <v>2</v>
      </c>
      <c r="B56" s="29" t="s">
        <v>606</v>
      </c>
      <c r="C56" s="31">
        <v>3</v>
      </c>
      <c r="D56" s="31">
        <v>2</v>
      </c>
      <c r="E56" s="31">
        <v>2</v>
      </c>
      <c r="F56" s="31">
        <v>2</v>
      </c>
      <c r="G56" s="28">
        <f t="shared" si="6"/>
        <v>9</v>
      </c>
      <c r="H56" s="30">
        <f t="shared" si="4"/>
        <v>1</v>
      </c>
      <c r="I56" s="30">
        <f t="shared" si="7"/>
        <v>9</v>
      </c>
      <c r="J56" s="30">
        <v>20</v>
      </c>
      <c r="K56" s="30">
        <f t="shared" si="5"/>
        <v>5</v>
      </c>
    </row>
    <row r="57" spans="1:11" ht="18" customHeight="1" x14ac:dyDescent="0.25">
      <c r="A57" s="28">
        <v>2</v>
      </c>
      <c r="B57" s="29" t="s">
        <v>318</v>
      </c>
      <c r="C57" s="28">
        <v>2</v>
      </c>
      <c r="D57" s="28">
        <v>2</v>
      </c>
      <c r="E57" s="28">
        <v>2</v>
      </c>
      <c r="F57" s="28">
        <v>3</v>
      </c>
      <c r="G57" s="28">
        <f t="shared" si="6"/>
        <v>9</v>
      </c>
      <c r="H57" s="30">
        <f t="shared" si="4"/>
        <v>1</v>
      </c>
      <c r="I57" s="30">
        <f t="shared" si="7"/>
        <v>9</v>
      </c>
      <c r="J57" s="30">
        <v>20</v>
      </c>
      <c r="K57" s="30">
        <f t="shared" si="5"/>
        <v>5</v>
      </c>
    </row>
    <row r="58" spans="1:11" ht="18" customHeight="1" x14ac:dyDescent="0.25">
      <c r="A58" s="31">
        <v>2</v>
      </c>
      <c r="B58" s="29" t="s">
        <v>859</v>
      </c>
      <c r="C58" s="31">
        <v>2</v>
      </c>
      <c r="D58" s="31">
        <v>2</v>
      </c>
      <c r="E58" s="31">
        <v>2</v>
      </c>
      <c r="F58" s="31">
        <v>1</v>
      </c>
      <c r="G58" s="28">
        <f t="shared" si="6"/>
        <v>7</v>
      </c>
      <c r="H58" s="30">
        <f t="shared" si="4"/>
        <v>1</v>
      </c>
      <c r="I58" s="30">
        <f t="shared" si="7"/>
        <v>7</v>
      </c>
      <c r="J58" s="30">
        <v>20</v>
      </c>
      <c r="K58" s="30">
        <f t="shared" si="5"/>
        <v>3.9</v>
      </c>
    </row>
    <row r="59" spans="1:11" ht="18" customHeight="1" x14ac:dyDescent="0.25">
      <c r="A59" s="28">
        <v>2</v>
      </c>
      <c r="B59" s="29" t="s">
        <v>860</v>
      </c>
      <c r="C59" s="28">
        <v>1</v>
      </c>
      <c r="D59" s="28">
        <v>1</v>
      </c>
      <c r="E59" s="28">
        <v>2</v>
      </c>
      <c r="F59" s="28">
        <v>1</v>
      </c>
      <c r="G59" s="28">
        <f t="shared" si="6"/>
        <v>5</v>
      </c>
      <c r="H59" s="30">
        <f t="shared" si="4"/>
        <v>1</v>
      </c>
      <c r="I59" s="30">
        <f t="shared" si="7"/>
        <v>5</v>
      </c>
      <c r="J59" s="30">
        <v>20</v>
      </c>
      <c r="K59" s="30">
        <f t="shared" si="5"/>
        <v>2.8</v>
      </c>
    </row>
    <row r="60" spans="1:11" ht="18" customHeight="1" x14ac:dyDescent="0.25">
      <c r="A60" s="31">
        <v>2</v>
      </c>
      <c r="B60" s="29" t="s">
        <v>343</v>
      </c>
      <c r="C60" s="31">
        <v>1</v>
      </c>
      <c r="D60" s="31">
        <v>1</v>
      </c>
      <c r="E60" s="31">
        <v>1</v>
      </c>
      <c r="F60" s="31">
        <v>1</v>
      </c>
      <c r="G60" s="28">
        <f t="shared" si="6"/>
        <v>4</v>
      </c>
      <c r="H60" s="30">
        <f t="shared" si="4"/>
        <v>1</v>
      </c>
      <c r="I60" s="30">
        <f t="shared" si="7"/>
        <v>4</v>
      </c>
      <c r="J60" s="30">
        <v>20</v>
      </c>
      <c r="K60" s="30">
        <f t="shared" si="5"/>
        <v>2.2000000000000002</v>
      </c>
    </row>
    <row r="61" spans="1:11" ht="18" customHeight="1" x14ac:dyDescent="0.25">
      <c r="A61" s="28">
        <v>2</v>
      </c>
      <c r="B61" s="29" t="s">
        <v>861</v>
      </c>
      <c r="C61" s="28">
        <v>1</v>
      </c>
      <c r="D61" s="28">
        <v>1</v>
      </c>
      <c r="E61" s="28">
        <v>2</v>
      </c>
      <c r="F61" s="28">
        <v>1</v>
      </c>
      <c r="G61" s="28">
        <f t="shared" si="6"/>
        <v>5</v>
      </c>
      <c r="H61" s="30">
        <f t="shared" si="4"/>
        <v>1</v>
      </c>
      <c r="I61" s="30">
        <f t="shared" si="7"/>
        <v>5</v>
      </c>
      <c r="J61" s="30">
        <v>20</v>
      </c>
      <c r="K61" s="30">
        <f t="shared" si="5"/>
        <v>2.8</v>
      </c>
    </row>
    <row r="62" spans="1:11" ht="18" customHeight="1" x14ac:dyDescent="0.25">
      <c r="A62" s="28">
        <v>2</v>
      </c>
      <c r="B62" s="29" t="s">
        <v>863</v>
      </c>
      <c r="C62" s="28">
        <v>1</v>
      </c>
      <c r="D62" s="28">
        <v>1</v>
      </c>
      <c r="E62" s="28">
        <v>2</v>
      </c>
      <c r="F62" s="28">
        <v>1</v>
      </c>
      <c r="G62" s="28">
        <f t="shared" si="6"/>
        <v>5</v>
      </c>
      <c r="H62" s="30">
        <f t="shared" si="4"/>
        <v>1</v>
      </c>
      <c r="I62" s="30">
        <f t="shared" si="7"/>
        <v>5</v>
      </c>
      <c r="J62" s="30">
        <v>20</v>
      </c>
      <c r="K62" s="30">
        <f t="shared" si="5"/>
        <v>2.8</v>
      </c>
    </row>
    <row r="63" spans="1:11" ht="18" customHeight="1" x14ac:dyDescent="0.25">
      <c r="A63" s="31">
        <v>2</v>
      </c>
      <c r="B63" s="29" t="s">
        <v>511</v>
      </c>
      <c r="C63" s="31">
        <v>1</v>
      </c>
      <c r="D63" s="31">
        <v>2</v>
      </c>
      <c r="E63" s="31">
        <v>2</v>
      </c>
      <c r="F63" s="31">
        <v>1</v>
      </c>
      <c r="G63" s="28">
        <f t="shared" si="6"/>
        <v>6</v>
      </c>
      <c r="H63" s="30">
        <f t="shared" si="4"/>
        <v>1</v>
      </c>
      <c r="I63" s="30">
        <f t="shared" si="7"/>
        <v>6</v>
      </c>
      <c r="J63" s="30">
        <v>20</v>
      </c>
      <c r="K63" s="30">
        <f t="shared" si="5"/>
        <v>3.3</v>
      </c>
    </row>
    <row r="64" spans="1:11" ht="18" customHeight="1" x14ac:dyDescent="0.25">
      <c r="A64" s="28">
        <v>2</v>
      </c>
      <c r="B64" s="29" t="s">
        <v>513</v>
      </c>
      <c r="C64" s="28">
        <v>3</v>
      </c>
      <c r="D64" s="28">
        <v>2</v>
      </c>
      <c r="E64" s="28">
        <v>2</v>
      </c>
      <c r="F64" s="28">
        <v>1</v>
      </c>
      <c r="G64" s="28">
        <f t="shared" si="6"/>
        <v>8</v>
      </c>
      <c r="H64" s="30">
        <f t="shared" si="4"/>
        <v>1</v>
      </c>
      <c r="I64" s="30">
        <f t="shared" si="7"/>
        <v>8</v>
      </c>
      <c r="J64" s="30">
        <v>20</v>
      </c>
      <c r="K64" s="30">
        <f t="shared" si="5"/>
        <v>4.4000000000000004</v>
      </c>
    </row>
    <row r="65" spans="1:11" ht="18" customHeight="1" x14ac:dyDescent="0.25">
      <c r="A65" s="31">
        <v>2</v>
      </c>
      <c r="B65" s="29" t="s">
        <v>864</v>
      </c>
      <c r="C65" s="31">
        <v>3</v>
      </c>
      <c r="D65" s="31">
        <v>2</v>
      </c>
      <c r="E65" s="31">
        <v>2</v>
      </c>
      <c r="F65" s="31">
        <v>2</v>
      </c>
      <c r="G65" s="28">
        <f t="shared" si="6"/>
        <v>9</v>
      </c>
      <c r="H65" s="30">
        <f t="shared" si="4"/>
        <v>1</v>
      </c>
      <c r="I65" s="30">
        <f t="shared" si="7"/>
        <v>9</v>
      </c>
      <c r="J65" s="30">
        <v>20</v>
      </c>
      <c r="K65" s="30">
        <f t="shared" si="5"/>
        <v>5</v>
      </c>
    </row>
    <row r="66" spans="1:11" ht="18" customHeight="1" x14ac:dyDescent="0.25">
      <c r="A66" s="28">
        <v>2</v>
      </c>
      <c r="B66" s="29" t="s">
        <v>523</v>
      </c>
      <c r="C66" s="28">
        <v>1</v>
      </c>
      <c r="D66" s="28">
        <v>2</v>
      </c>
      <c r="E66" s="28">
        <v>2</v>
      </c>
      <c r="F66" s="28">
        <v>1</v>
      </c>
      <c r="G66" s="28">
        <f t="shared" si="6"/>
        <v>6</v>
      </c>
      <c r="H66" s="30">
        <f t="shared" si="4"/>
        <v>1</v>
      </c>
      <c r="I66" s="30">
        <f t="shared" si="7"/>
        <v>6</v>
      </c>
      <c r="J66" s="30">
        <v>20</v>
      </c>
      <c r="K66" s="30">
        <f t="shared" si="5"/>
        <v>3.3</v>
      </c>
    </row>
    <row r="67" spans="1:11" ht="18" customHeight="1" x14ac:dyDescent="0.25">
      <c r="A67" s="31">
        <v>2</v>
      </c>
      <c r="B67" s="29" t="s">
        <v>320</v>
      </c>
      <c r="C67" s="31">
        <v>2</v>
      </c>
      <c r="D67" s="31">
        <v>2</v>
      </c>
      <c r="E67" s="31">
        <v>2</v>
      </c>
      <c r="F67" s="31">
        <v>3</v>
      </c>
      <c r="G67" s="28">
        <f t="shared" si="6"/>
        <v>9</v>
      </c>
      <c r="H67" s="30">
        <f t="shared" si="4"/>
        <v>1</v>
      </c>
      <c r="I67" s="30">
        <f t="shared" si="7"/>
        <v>9</v>
      </c>
      <c r="J67" s="30">
        <v>20</v>
      </c>
      <c r="K67" s="30">
        <f t="shared" si="5"/>
        <v>5</v>
      </c>
    </row>
    <row r="68" spans="1:11" ht="18" customHeight="1" x14ac:dyDescent="0.25">
      <c r="A68" s="28">
        <v>2</v>
      </c>
      <c r="B68" s="29" t="s">
        <v>545</v>
      </c>
      <c r="C68" s="28">
        <v>1</v>
      </c>
      <c r="D68" s="28">
        <v>1</v>
      </c>
      <c r="E68" s="28">
        <v>2</v>
      </c>
      <c r="F68" s="28">
        <v>1</v>
      </c>
      <c r="G68" s="28">
        <f t="shared" si="6"/>
        <v>5</v>
      </c>
      <c r="H68" s="30">
        <f t="shared" si="4"/>
        <v>1</v>
      </c>
      <c r="I68" s="30">
        <f t="shared" si="7"/>
        <v>5</v>
      </c>
      <c r="J68" s="30">
        <v>20</v>
      </c>
      <c r="K68" s="30">
        <f t="shared" si="5"/>
        <v>2.8</v>
      </c>
    </row>
    <row r="69" spans="1:11" ht="18" customHeight="1" x14ac:dyDescent="0.25">
      <c r="A69" s="31">
        <v>2</v>
      </c>
      <c r="B69" s="29" t="s">
        <v>547</v>
      </c>
      <c r="C69" s="31">
        <v>3</v>
      </c>
      <c r="D69" s="31">
        <v>1</v>
      </c>
      <c r="E69" s="31">
        <v>2</v>
      </c>
      <c r="F69" s="31">
        <v>1</v>
      </c>
      <c r="G69" s="28">
        <f t="shared" si="6"/>
        <v>7</v>
      </c>
      <c r="H69" s="30">
        <f t="shared" si="4"/>
        <v>1</v>
      </c>
      <c r="I69" s="30">
        <f t="shared" si="7"/>
        <v>7</v>
      </c>
      <c r="J69" s="30">
        <v>20</v>
      </c>
      <c r="K69" s="30">
        <f t="shared" si="5"/>
        <v>3.9</v>
      </c>
    </row>
    <row r="70" spans="1:11" ht="18" customHeight="1" x14ac:dyDescent="0.25">
      <c r="A70" s="28">
        <v>2</v>
      </c>
      <c r="B70" s="29" t="s">
        <v>354</v>
      </c>
      <c r="C70" s="28">
        <v>3</v>
      </c>
      <c r="D70" s="28">
        <v>2</v>
      </c>
      <c r="E70" s="28">
        <v>1</v>
      </c>
      <c r="F70" s="28">
        <v>2</v>
      </c>
      <c r="G70" s="28">
        <f t="shared" si="6"/>
        <v>8</v>
      </c>
      <c r="H70" s="30">
        <f t="shared" si="4"/>
        <v>1</v>
      </c>
      <c r="I70" s="30">
        <f t="shared" si="7"/>
        <v>8</v>
      </c>
      <c r="J70" s="30">
        <v>20</v>
      </c>
      <c r="K70" s="30">
        <f t="shared" si="5"/>
        <v>4.4000000000000004</v>
      </c>
    </row>
    <row r="71" spans="1:11" ht="18" customHeight="1" x14ac:dyDescent="0.25">
      <c r="A71" s="31">
        <v>2</v>
      </c>
      <c r="B71" s="29" t="s">
        <v>866</v>
      </c>
      <c r="C71" s="31">
        <v>1</v>
      </c>
      <c r="D71" s="31">
        <v>2</v>
      </c>
      <c r="E71" s="31">
        <v>2</v>
      </c>
      <c r="F71" s="31">
        <v>1</v>
      </c>
      <c r="G71" s="28">
        <f t="shared" si="6"/>
        <v>6</v>
      </c>
      <c r="H71" s="30">
        <f t="shared" si="4"/>
        <v>1</v>
      </c>
      <c r="I71" s="30">
        <f t="shared" si="7"/>
        <v>6</v>
      </c>
      <c r="J71" s="30">
        <v>20</v>
      </c>
      <c r="K71" s="30">
        <f t="shared" si="5"/>
        <v>3.3</v>
      </c>
    </row>
    <row r="72" spans="1:11" ht="18" customHeight="1" x14ac:dyDescent="0.25">
      <c r="A72" s="28">
        <v>2</v>
      </c>
      <c r="B72" s="29" t="s">
        <v>332</v>
      </c>
      <c r="C72" s="28">
        <v>2</v>
      </c>
      <c r="D72" s="28">
        <v>2</v>
      </c>
      <c r="E72" s="28">
        <v>2</v>
      </c>
      <c r="F72" s="28">
        <v>1</v>
      </c>
      <c r="G72" s="28">
        <f t="shared" si="6"/>
        <v>7</v>
      </c>
      <c r="H72" s="30">
        <f t="shared" si="4"/>
        <v>1</v>
      </c>
      <c r="I72" s="30">
        <f t="shared" si="7"/>
        <v>7</v>
      </c>
      <c r="J72" s="30">
        <v>20</v>
      </c>
      <c r="K72" s="30">
        <f t="shared" si="5"/>
        <v>3.9</v>
      </c>
    </row>
    <row r="73" spans="1:11" ht="18" customHeight="1" x14ac:dyDescent="0.25">
      <c r="A73" s="31">
        <v>2</v>
      </c>
      <c r="B73" s="29" t="s">
        <v>553</v>
      </c>
      <c r="C73" s="31">
        <v>1</v>
      </c>
      <c r="D73" s="31">
        <v>1</v>
      </c>
      <c r="E73" s="31">
        <v>2</v>
      </c>
      <c r="F73" s="31">
        <v>1</v>
      </c>
      <c r="G73" s="28">
        <f t="shared" si="6"/>
        <v>5</v>
      </c>
      <c r="H73" s="30">
        <f t="shared" si="4"/>
        <v>1</v>
      </c>
      <c r="I73" s="30">
        <f t="shared" si="7"/>
        <v>5</v>
      </c>
      <c r="J73" s="30">
        <v>20</v>
      </c>
      <c r="K73" s="30">
        <f t="shared" si="5"/>
        <v>2.8</v>
      </c>
    </row>
    <row r="74" spans="1:11" ht="18" customHeight="1" x14ac:dyDescent="0.25">
      <c r="A74" s="31">
        <v>2</v>
      </c>
      <c r="B74" s="29" t="s">
        <v>559</v>
      </c>
      <c r="C74" s="31">
        <v>3</v>
      </c>
      <c r="D74" s="31">
        <v>2</v>
      </c>
      <c r="E74" s="31">
        <v>2</v>
      </c>
      <c r="F74" s="31">
        <v>2</v>
      </c>
      <c r="G74" s="28">
        <f t="shared" si="6"/>
        <v>9</v>
      </c>
      <c r="H74" s="30">
        <f t="shared" si="4"/>
        <v>1</v>
      </c>
      <c r="I74" s="30">
        <f t="shared" si="7"/>
        <v>9</v>
      </c>
      <c r="J74" s="30">
        <v>20</v>
      </c>
      <c r="K74" s="30">
        <f t="shared" si="5"/>
        <v>5</v>
      </c>
    </row>
    <row r="75" spans="1:11" ht="18" customHeight="1" x14ac:dyDescent="0.25">
      <c r="A75" s="28">
        <v>2</v>
      </c>
      <c r="B75" s="29" t="s">
        <v>561</v>
      </c>
      <c r="C75" s="28">
        <v>3</v>
      </c>
      <c r="D75" s="28">
        <v>1</v>
      </c>
      <c r="E75" s="28">
        <v>2</v>
      </c>
      <c r="F75" s="28">
        <v>1</v>
      </c>
      <c r="G75" s="28">
        <f t="shared" si="6"/>
        <v>7</v>
      </c>
      <c r="H75" s="30">
        <f t="shared" si="4"/>
        <v>1</v>
      </c>
      <c r="I75" s="30">
        <f t="shared" si="7"/>
        <v>7</v>
      </c>
      <c r="J75" s="30">
        <v>20</v>
      </c>
      <c r="K75" s="30">
        <f t="shared" si="5"/>
        <v>3.9</v>
      </c>
    </row>
    <row r="76" spans="1:11" ht="18" customHeight="1" x14ac:dyDescent="0.25">
      <c r="A76" s="31">
        <v>2</v>
      </c>
      <c r="B76" s="29" t="s">
        <v>868</v>
      </c>
      <c r="C76" s="31">
        <v>3</v>
      </c>
      <c r="D76" s="31">
        <v>2</v>
      </c>
      <c r="E76" s="31">
        <v>1</v>
      </c>
      <c r="F76" s="31">
        <v>3</v>
      </c>
      <c r="G76" s="28">
        <f t="shared" si="6"/>
        <v>9</v>
      </c>
      <c r="H76" s="30">
        <f t="shared" si="4"/>
        <v>1</v>
      </c>
      <c r="I76" s="30">
        <f t="shared" si="7"/>
        <v>9</v>
      </c>
      <c r="J76" s="30">
        <v>20</v>
      </c>
      <c r="K76" s="30">
        <f t="shared" si="5"/>
        <v>5</v>
      </c>
    </row>
    <row r="77" spans="1:11" ht="18" customHeight="1" x14ac:dyDescent="0.25">
      <c r="A77" s="28">
        <v>2</v>
      </c>
      <c r="B77" s="29" t="s">
        <v>334</v>
      </c>
      <c r="C77" s="28">
        <v>2</v>
      </c>
      <c r="D77" s="28">
        <v>2</v>
      </c>
      <c r="E77" s="28">
        <v>3</v>
      </c>
      <c r="F77" s="28">
        <v>1</v>
      </c>
      <c r="G77" s="28">
        <f t="shared" si="6"/>
        <v>8</v>
      </c>
      <c r="H77" s="30">
        <f t="shared" si="4"/>
        <v>1</v>
      </c>
      <c r="I77" s="30">
        <f t="shared" si="7"/>
        <v>8</v>
      </c>
      <c r="J77" s="30">
        <v>20</v>
      </c>
      <c r="K77" s="30">
        <f t="shared" si="5"/>
        <v>4.4000000000000004</v>
      </c>
    </row>
    <row r="78" spans="1:11" ht="18" customHeight="1" x14ac:dyDescent="0.25">
      <c r="A78" s="31">
        <v>2</v>
      </c>
      <c r="B78" s="29" t="s">
        <v>869</v>
      </c>
      <c r="C78" s="31">
        <v>2</v>
      </c>
      <c r="D78" s="31">
        <v>2</v>
      </c>
      <c r="E78" s="31">
        <v>3</v>
      </c>
      <c r="F78" s="31">
        <v>1</v>
      </c>
      <c r="G78" s="28">
        <f t="shared" si="6"/>
        <v>8</v>
      </c>
      <c r="H78" s="30">
        <f t="shared" si="4"/>
        <v>1</v>
      </c>
      <c r="I78" s="30">
        <f t="shared" si="7"/>
        <v>8</v>
      </c>
      <c r="J78" s="30">
        <v>20</v>
      </c>
      <c r="K78" s="30">
        <f t="shared" si="5"/>
        <v>4.4000000000000004</v>
      </c>
    </row>
    <row r="79" spans="1:11" ht="18" customHeight="1" x14ac:dyDescent="0.25">
      <c r="A79" s="28">
        <v>2</v>
      </c>
      <c r="B79" s="29" t="s">
        <v>871</v>
      </c>
      <c r="C79" s="28">
        <v>2</v>
      </c>
      <c r="D79" s="28">
        <v>2</v>
      </c>
      <c r="E79" s="28">
        <v>2</v>
      </c>
      <c r="F79" s="28">
        <v>1</v>
      </c>
      <c r="G79" s="28">
        <f t="shared" si="6"/>
        <v>7</v>
      </c>
      <c r="H79" s="30">
        <f t="shared" si="4"/>
        <v>1</v>
      </c>
      <c r="I79" s="30">
        <f t="shared" si="7"/>
        <v>7</v>
      </c>
      <c r="J79" s="30">
        <v>20</v>
      </c>
      <c r="K79" s="30">
        <f t="shared" si="5"/>
        <v>3.9</v>
      </c>
    </row>
    <row r="80" spans="1:11" ht="18" customHeight="1" x14ac:dyDescent="0.25">
      <c r="A80" s="31">
        <v>2</v>
      </c>
      <c r="B80" s="29" t="s">
        <v>576</v>
      </c>
      <c r="C80" s="31">
        <v>1</v>
      </c>
      <c r="D80" s="31">
        <v>2</v>
      </c>
      <c r="E80" s="31">
        <v>2</v>
      </c>
      <c r="F80" s="31">
        <v>1</v>
      </c>
      <c r="G80" s="28">
        <f t="shared" si="6"/>
        <v>6</v>
      </c>
      <c r="H80" s="30">
        <f t="shared" si="4"/>
        <v>1</v>
      </c>
      <c r="I80" s="30">
        <f t="shared" si="7"/>
        <v>6</v>
      </c>
      <c r="J80" s="30">
        <v>20</v>
      </c>
      <c r="K80" s="30">
        <f t="shared" si="5"/>
        <v>3.3</v>
      </c>
    </row>
    <row r="81" spans="1:11" ht="18" customHeight="1" x14ac:dyDescent="0.25">
      <c r="A81" s="28">
        <v>2</v>
      </c>
      <c r="B81" s="29" t="s">
        <v>872</v>
      </c>
      <c r="C81" s="28">
        <v>2</v>
      </c>
      <c r="D81" s="28">
        <v>2</v>
      </c>
      <c r="E81" s="28">
        <v>2</v>
      </c>
      <c r="F81" s="28">
        <v>1</v>
      </c>
      <c r="G81" s="28">
        <f t="shared" si="6"/>
        <v>7</v>
      </c>
      <c r="H81" s="30">
        <f t="shared" si="4"/>
        <v>1</v>
      </c>
      <c r="I81" s="30">
        <f t="shared" si="7"/>
        <v>7</v>
      </c>
      <c r="J81" s="30">
        <v>20</v>
      </c>
      <c r="K81" s="30">
        <f t="shared" si="5"/>
        <v>3.9</v>
      </c>
    </row>
    <row r="82" spans="1:11" ht="18" customHeight="1" x14ac:dyDescent="0.25">
      <c r="A82" s="31">
        <v>2</v>
      </c>
      <c r="B82" s="29" t="s">
        <v>591</v>
      </c>
      <c r="C82" s="31">
        <v>2</v>
      </c>
      <c r="D82" s="31">
        <v>2</v>
      </c>
      <c r="E82" s="31">
        <v>2</v>
      </c>
      <c r="F82" s="31">
        <v>1</v>
      </c>
      <c r="G82" s="28">
        <f t="shared" si="6"/>
        <v>7</v>
      </c>
      <c r="H82" s="30">
        <f t="shared" si="4"/>
        <v>1</v>
      </c>
      <c r="I82" s="30">
        <f t="shared" si="7"/>
        <v>7</v>
      </c>
      <c r="J82" s="30">
        <v>20</v>
      </c>
      <c r="K82" s="30">
        <f t="shared" si="5"/>
        <v>3.9</v>
      </c>
    </row>
    <row r="83" spans="1:11" ht="18" customHeight="1" x14ac:dyDescent="0.25">
      <c r="A83" s="28">
        <v>2</v>
      </c>
      <c r="B83" s="29" t="s">
        <v>878</v>
      </c>
      <c r="C83" s="28">
        <v>1</v>
      </c>
      <c r="D83" s="28">
        <v>1</v>
      </c>
      <c r="E83" s="28">
        <v>2</v>
      </c>
      <c r="F83" s="28">
        <v>1</v>
      </c>
      <c r="G83" s="28">
        <f t="shared" si="6"/>
        <v>5</v>
      </c>
      <c r="H83" s="30">
        <f t="shared" si="4"/>
        <v>1</v>
      </c>
      <c r="I83" s="30">
        <f t="shared" si="7"/>
        <v>5</v>
      </c>
      <c r="J83" s="30">
        <v>20</v>
      </c>
      <c r="K83" s="30">
        <f t="shared" si="5"/>
        <v>2.8</v>
      </c>
    </row>
    <row r="84" spans="1:11" ht="30" customHeight="1" x14ac:dyDescent="0.25">
      <c r="A84" s="38" t="s">
        <v>880</v>
      </c>
      <c r="B84" s="39"/>
      <c r="C84" s="39"/>
      <c r="D84" s="39"/>
      <c r="E84" s="39"/>
      <c r="F84" s="39"/>
      <c r="G84" s="39"/>
      <c r="H84" s="39"/>
      <c r="I84" s="39"/>
      <c r="J84" s="40"/>
      <c r="K84" s="30">
        <f>SUM(K44:K83)</f>
        <v>148.20000000000005</v>
      </c>
    </row>
    <row r="85" spans="1:11" ht="33.75" customHeight="1" x14ac:dyDescent="0.25">
      <c r="A85" s="41" t="s">
        <v>807</v>
      </c>
      <c r="B85" s="42"/>
      <c r="C85" s="42"/>
      <c r="D85" s="42"/>
      <c r="E85" s="42"/>
      <c r="F85" s="42"/>
      <c r="G85" s="42"/>
      <c r="H85" s="42"/>
      <c r="I85" s="42"/>
      <c r="J85" s="42"/>
      <c r="K85" s="43"/>
    </row>
    <row r="86" spans="1:11" ht="18" customHeight="1" x14ac:dyDescent="0.25">
      <c r="A86" s="31">
        <v>3</v>
      </c>
      <c r="B86" s="29" t="s">
        <v>319</v>
      </c>
      <c r="C86" s="31">
        <v>3</v>
      </c>
      <c r="D86" s="31">
        <v>2</v>
      </c>
      <c r="E86" s="31">
        <v>2</v>
      </c>
      <c r="F86" s="31">
        <v>1</v>
      </c>
      <c r="G86" s="31">
        <f>SUM(C83:F83)</f>
        <v>5</v>
      </c>
      <c r="H86" s="30">
        <f t="shared" ref="H86:H96" si="8">IF(ISNUMBER(J86),  IF(J86&lt;=11, 2,    IF(J86&lt;24,1,   0.5)), "chưa có ed")</f>
        <v>1</v>
      </c>
      <c r="I86" s="30">
        <f t="shared" ref="I86:I96" si="9">G86*H86</f>
        <v>5</v>
      </c>
      <c r="J86" s="30">
        <v>20</v>
      </c>
      <c r="K86" s="30">
        <f t="shared" ref="K86:K96" si="10">ROUND((I86*J86)/36, 1)</f>
        <v>2.8</v>
      </c>
    </row>
    <row r="87" spans="1:11" ht="18" customHeight="1" x14ac:dyDescent="0.25">
      <c r="A87" s="28">
        <v>3</v>
      </c>
      <c r="B87" s="29" t="s">
        <v>862</v>
      </c>
      <c r="C87" s="28">
        <v>2</v>
      </c>
      <c r="D87" s="28">
        <v>2</v>
      </c>
      <c r="E87" s="28">
        <v>3</v>
      </c>
      <c r="F87" s="28">
        <v>1</v>
      </c>
      <c r="G87" s="31">
        <f t="shared" ref="G87:G96" si="11">SUM(C84:F84)</f>
        <v>0</v>
      </c>
      <c r="H87" s="30">
        <f t="shared" si="8"/>
        <v>1</v>
      </c>
      <c r="I87" s="30">
        <f t="shared" si="9"/>
        <v>0</v>
      </c>
      <c r="J87" s="30">
        <v>20</v>
      </c>
      <c r="K87" s="30">
        <f t="shared" si="10"/>
        <v>0</v>
      </c>
    </row>
    <row r="88" spans="1:11" ht="18" customHeight="1" x14ac:dyDescent="0.25">
      <c r="A88" s="31">
        <v>3</v>
      </c>
      <c r="B88" s="29" t="s">
        <v>865</v>
      </c>
      <c r="C88" s="31">
        <v>1</v>
      </c>
      <c r="D88" s="31">
        <v>1</v>
      </c>
      <c r="E88" s="31">
        <v>2</v>
      </c>
      <c r="F88" s="31">
        <v>1</v>
      </c>
      <c r="G88" s="31">
        <f t="shared" si="11"/>
        <v>0</v>
      </c>
      <c r="H88" s="30">
        <f t="shared" si="8"/>
        <v>1</v>
      </c>
      <c r="I88" s="30">
        <f t="shared" si="9"/>
        <v>0</v>
      </c>
      <c r="J88" s="30">
        <v>20</v>
      </c>
      <c r="K88" s="30">
        <f t="shared" si="10"/>
        <v>0</v>
      </c>
    </row>
    <row r="89" spans="1:11" ht="18" customHeight="1" x14ac:dyDescent="0.25">
      <c r="A89" s="28">
        <v>3</v>
      </c>
      <c r="B89" s="29" t="s">
        <v>321</v>
      </c>
      <c r="C89" s="28">
        <v>3</v>
      </c>
      <c r="D89" s="28">
        <v>2</v>
      </c>
      <c r="E89" s="28">
        <v>2</v>
      </c>
      <c r="F89" s="28">
        <v>1</v>
      </c>
      <c r="G89" s="31">
        <f t="shared" si="11"/>
        <v>8</v>
      </c>
      <c r="H89" s="30">
        <f t="shared" si="8"/>
        <v>1</v>
      </c>
      <c r="I89" s="30">
        <f t="shared" si="9"/>
        <v>8</v>
      </c>
      <c r="J89" s="30">
        <v>20</v>
      </c>
      <c r="K89" s="30">
        <f t="shared" si="10"/>
        <v>4.4000000000000004</v>
      </c>
    </row>
    <row r="90" spans="1:11" ht="18" customHeight="1" x14ac:dyDescent="0.25">
      <c r="A90" s="31">
        <v>3</v>
      </c>
      <c r="B90" s="29" t="s">
        <v>870</v>
      </c>
      <c r="C90" s="31">
        <v>2</v>
      </c>
      <c r="D90" s="31">
        <v>3</v>
      </c>
      <c r="E90" s="31">
        <v>3</v>
      </c>
      <c r="F90" s="31">
        <v>1</v>
      </c>
      <c r="G90" s="31">
        <f t="shared" si="11"/>
        <v>8</v>
      </c>
      <c r="H90" s="30">
        <f t="shared" si="8"/>
        <v>1</v>
      </c>
      <c r="I90" s="30">
        <f t="shared" si="9"/>
        <v>8</v>
      </c>
      <c r="J90" s="30">
        <v>20</v>
      </c>
      <c r="K90" s="30">
        <f t="shared" si="10"/>
        <v>4.4000000000000004</v>
      </c>
    </row>
    <row r="91" spans="1:11" ht="18" customHeight="1" x14ac:dyDescent="0.25">
      <c r="A91" s="28">
        <v>3</v>
      </c>
      <c r="B91" s="29" t="s">
        <v>578</v>
      </c>
      <c r="C91" s="28">
        <v>3</v>
      </c>
      <c r="D91" s="28">
        <v>2</v>
      </c>
      <c r="E91" s="28">
        <v>2</v>
      </c>
      <c r="F91" s="28">
        <v>2</v>
      </c>
      <c r="G91" s="31">
        <f t="shared" si="11"/>
        <v>5</v>
      </c>
      <c r="H91" s="30">
        <f t="shared" si="8"/>
        <v>1</v>
      </c>
      <c r="I91" s="30">
        <f t="shared" si="9"/>
        <v>5</v>
      </c>
      <c r="J91" s="30">
        <v>20</v>
      </c>
      <c r="K91" s="30">
        <f t="shared" si="10"/>
        <v>2.8</v>
      </c>
    </row>
    <row r="92" spans="1:11" ht="18" customHeight="1" x14ac:dyDescent="0.25">
      <c r="A92" s="35">
        <v>3</v>
      </c>
      <c r="B92" s="32" t="s">
        <v>873</v>
      </c>
      <c r="C92" s="33">
        <v>1</v>
      </c>
      <c r="D92" s="33">
        <v>2</v>
      </c>
      <c r="E92" s="33">
        <v>2</v>
      </c>
      <c r="F92" s="33">
        <v>1</v>
      </c>
      <c r="G92" s="31">
        <f t="shared" si="11"/>
        <v>8</v>
      </c>
      <c r="H92" s="30">
        <f t="shared" si="8"/>
        <v>1</v>
      </c>
      <c r="I92" s="30">
        <f t="shared" si="9"/>
        <v>8</v>
      </c>
      <c r="J92" s="30">
        <v>20</v>
      </c>
      <c r="K92" s="30">
        <f t="shared" si="10"/>
        <v>4.4000000000000004</v>
      </c>
    </row>
    <row r="93" spans="1:11" ht="18" customHeight="1" x14ac:dyDescent="0.25">
      <c r="A93" s="35">
        <v>3</v>
      </c>
      <c r="B93" s="32" t="s">
        <v>874</v>
      </c>
      <c r="C93" s="33">
        <v>1</v>
      </c>
      <c r="D93" s="33">
        <v>2</v>
      </c>
      <c r="E93" s="33">
        <v>2</v>
      </c>
      <c r="F93" s="33">
        <v>1</v>
      </c>
      <c r="G93" s="31">
        <f t="shared" si="11"/>
        <v>9</v>
      </c>
      <c r="H93" s="30">
        <f t="shared" si="8"/>
        <v>1</v>
      </c>
      <c r="I93" s="30">
        <f t="shared" si="9"/>
        <v>9</v>
      </c>
      <c r="J93" s="30">
        <v>20</v>
      </c>
      <c r="K93" s="30">
        <f t="shared" si="10"/>
        <v>5</v>
      </c>
    </row>
    <row r="94" spans="1:11" ht="18" customHeight="1" x14ac:dyDescent="0.25">
      <c r="A94" s="35">
        <v>3</v>
      </c>
      <c r="B94" s="32" t="s">
        <v>875</v>
      </c>
      <c r="C94" s="33">
        <v>1</v>
      </c>
      <c r="D94" s="33">
        <v>2</v>
      </c>
      <c r="E94" s="33">
        <v>2</v>
      </c>
      <c r="F94" s="33">
        <v>1</v>
      </c>
      <c r="G94" s="31">
        <f t="shared" si="11"/>
        <v>9</v>
      </c>
      <c r="H94" s="30">
        <f t="shared" si="8"/>
        <v>1</v>
      </c>
      <c r="I94" s="30">
        <f t="shared" si="9"/>
        <v>9</v>
      </c>
      <c r="J94" s="30">
        <v>20</v>
      </c>
      <c r="K94" s="30">
        <f t="shared" si="10"/>
        <v>5</v>
      </c>
    </row>
    <row r="95" spans="1:11" ht="18" customHeight="1" x14ac:dyDescent="0.25">
      <c r="A95" s="35">
        <v>3</v>
      </c>
      <c r="B95" s="32" t="s">
        <v>876</v>
      </c>
      <c r="C95" s="33">
        <v>2</v>
      </c>
      <c r="D95" s="33">
        <v>2</v>
      </c>
      <c r="E95" s="33">
        <v>3</v>
      </c>
      <c r="F95" s="33">
        <v>1</v>
      </c>
      <c r="G95" s="31">
        <f t="shared" si="11"/>
        <v>6</v>
      </c>
      <c r="H95" s="30">
        <f t="shared" si="8"/>
        <v>1</v>
      </c>
      <c r="I95" s="30">
        <f t="shared" si="9"/>
        <v>6</v>
      </c>
      <c r="J95" s="30">
        <v>20</v>
      </c>
      <c r="K95" s="30">
        <f t="shared" si="10"/>
        <v>3.3</v>
      </c>
    </row>
    <row r="96" spans="1:11" ht="18" customHeight="1" x14ac:dyDescent="0.25">
      <c r="A96" s="35">
        <v>3</v>
      </c>
      <c r="B96" s="32" t="s">
        <v>877</v>
      </c>
      <c r="C96" s="33">
        <v>2</v>
      </c>
      <c r="D96" s="33">
        <v>3</v>
      </c>
      <c r="E96" s="33">
        <v>2</v>
      </c>
      <c r="F96" s="33">
        <v>1</v>
      </c>
      <c r="G96" s="31">
        <f t="shared" si="11"/>
        <v>6</v>
      </c>
      <c r="H96" s="30">
        <f t="shared" si="8"/>
        <v>1</v>
      </c>
      <c r="I96" s="30">
        <f t="shared" si="9"/>
        <v>6</v>
      </c>
      <c r="J96" s="30">
        <v>20</v>
      </c>
      <c r="K96" s="30">
        <f t="shared" si="10"/>
        <v>3.3</v>
      </c>
    </row>
    <row r="97" spans="1:11" ht="18" customHeight="1" x14ac:dyDescent="0.25">
      <c r="A97" s="35">
        <v>3</v>
      </c>
      <c r="B97" s="29" t="s">
        <v>349</v>
      </c>
      <c r="C97" s="28">
        <v>3</v>
      </c>
      <c r="D97" s="28">
        <v>3</v>
      </c>
      <c r="E97" s="28">
        <v>3</v>
      </c>
      <c r="F97" s="28">
        <v>2</v>
      </c>
      <c r="G97" s="28">
        <f t="shared" ref="G97:G109" si="12">SUM(C97:F97)</f>
        <v>11</v>
      </c>
      <c r="H97" s="30">
        <f t="shared" ref="H97:H109" si="13">IF(ISNUMBER(J97),  IF(J97&lt;=11, 2,    IF(J97&lt;24,1,   0.5)), "chưa có ed")</f>
        <v>1</v>
      </c>
      <c r="I97" s="30">
        <f t="shared" ref="I97:I109" si="14">G97*H97</f>
        <v>11</v>
      </c>
      <c r="J97" s="30">
        <v>20</v>
      </c>
      <c r="K97" s="30">
        <f t="shared" ref="K97:K109" si="15">ROUND((I97*J97)/36, 1)</f>
        <v>6.1</v>
      </c>
    </row>
    <row r="98" spans="1:11" ht="18" customHeight="1" x14ac:dyDescent="0.25">
      <c r="A98" s="35">
        <v>3</v>
      </c>
      <c r="B98" s="29" t="s">
        <v>589</v>
      </c>
      <c r="C98" s="31">
        <v>3</v>
      </c>
      <c r="D98" s="31">
        <v>3</v>
      </c>
      <c r="E98" s="31">
        <v>3</v>
      </c>
      <c r="F98" s="31">
        <v>3</v>
      </c>
      <c r="G98" s="28">
        <f t="shared" si="12"/>
        <v>12</v>
      </c>
      <c r="H98" s="30">
        <f t="shared" si="13"/>
        <v>1</v>
      </c>
      <c r="I98" s="30">
        <f t="shared" si="14"/>
        <v>12</v>
      </c>
      <c r="J98" s="30">
        <v>20</v>
      </c>
      <c r="K98" s="30">
        <f t="shared" si="15"/>
        <v>6.7</v>
      </c>
    </row>
    <row r="99" spans="1:11" ht="18" customHeight="1" x14ac:dyDescent="0.25">
      <c r="A99" s="35">
        <v>3</v>
      </c>
      <c r="B99" s="29" t="s">
        <v>317</v>
      </c>
      <c r="C99" s="28">
        <v>3</v>
      </c>
      <c r="D99" s="28">
        <v>3</v>
      </c>
      <c r="E99" s="28">
        <v>2</v>
      </c>
      <c r="F99" s="28">
        <v>3</v>
      </c>
      <c r="G99" s="28">
        <f t="shared" si="12"/>
        <v>11</v>
      </c>
      <c r="H99" s="30">
        <f t="shared" si="13"/>
        <v>1</v>
      </c>
      <c r="I99" s="30">
        <f t="shared" si="14"/>
        <v>11</v>
      </c>
      <c r="J99" s="30">
        <v>20</v>
      </c>
      <c r="K99" s="30">
        <f t="shared" si="15"/>
        <v>6.1</v>
      </c>
    </row>
    <row r="100" spans="1:11" ht="18" customHeight="1" x14ac:dyDescent="0.25">
      <c r="A100" s="35">
        <v>3</v>
      </c>
      <c r="B100" s="29" t="s">
        <v>853</v>
      </c>
      <c r="C100" s="31">
        <v>3</v>
      </c>
      <c r="D100" s="31">
        <v>3</v>
      </c>
      <c r="E100" s="31">
        <v>2</v>
      </c>
      <c r="F100" s="31">
        <v>3</v>
      </c>
      <c r="G100" s="28">
        <f t="shared" si="12"/>
        <v>11</v>
      </c>
      <c r="H100" s="30">
        <f t="shared" si="13"/>
        <v>1</v>
      </c>
      <c r="I100" s="30">
        <f t="shared" si="14"/>
        <v>11</v>
      </c>
      <c r="J100" s="30">
        <v>20</v>
      </c>
      <c r="K100" s="30">
        <f t="shared" si="15"/>
        <v>6.1</v>
      </c>
    </row>
    <row r="101" spans="1:11" ht="18" customHeight="1" x14ac:dyDescent="0.25">
      <c r="A101" s="35">
        <v>3</v>
      </c>
      <c r="B101" s="29" t="s">
        <v>847</v>
      </c>
      <c r="C101" s="31">
        <v>3</v>
      </c>
      <c r="D101" s="31">
        <v>3</v>
      </c>
      <c r="E101" s="31">
        <v>2</v>
      </c>
      <c r="F101" s="31">
        <v>2</v>
      </c>
      <c r="G101" s="28">
        <f t="shared" si="12"/>
        <v>10</v>
      </c>
      <c r="H101" s="30">
        <f t="shared" si="13"/>
        <v>1</v>
      </c>
      <c r="I101" s="30">
        <f t="shared" si="14"/>
        <v>10</v>
      </c>
      <c r="J101" s="30">
        <v>20</v>
      </c>
      <c r="K101" s="30">
        <f t="shared" si="15"/>
        <v>5.6</v>
      </c>
    </row>
    <row r="102" spans="1:11" ht="18" customHeight="1" x14ac:dyDescent="0.25">
      <c r="A102" s="35">
        <v>3</v>
      </c>
      <c r="B102" s="29" t="s">
        <v>327</v>
      </c>
      <c r="C102" s="31">
        <v>3</v>
      </c>
      <c r="D102" s="31">
        <v>3</v>
      </c>
      <c r="E102" s="31">
        <v>1</v>
      </c>
      <c r="F102" s="31">
        <v>3</v>
      </c>
      <c r="G102" s="28">
        <f t="shared" si="12"/>
        <v>10</v>
      </c>
      <c r="H102" s="30">
        <f t="shared" si="13"/>
        <v>1</v>
      </c>
      <c r="I102" s="30">
        <f t="shared" si="14"/>
        <v>10</v>
      </c>
      <c r="J102" s="30">
        <v>20</v>
      </c>
      <c r="K102" s="30">
        <f t="shared" si="15"/>
        <v>5.6</v>
      </c>
    </row>
    <row r="103" spans="1:11" ht="18" customHeight="1" x14ac:dyDescent="0.25">
      <c r="A103" s="35">
        <v>3</v>
      </c>
      <c r="B103" s="29" t="s">
        <v>322</v>
      </c>
      <c r="C103" s="31">
        <v>3</v>
      </c>
      <c r="D103" s="31">
        <v>3</v>
      </c>
      <c r="E103" s="31">
        <v>3</v>
      </c>
      <c r="F103" s="31">
        <v>3</v>
      </c>
      <c r="G103" s="28">
        <f t="shared" si="12"/>
        <v>12</v>
      </c>
      <c r="H103" s="30">
        <f t="shared" si="13"/>
        <v>1</v>
      </c>
      <c r="I103" s="30">
        <f t="shared" si="14"/>
        <v>12</v>
      </c>
      <c r="J103" s="30">
        <v>20</v>
      </c>
      <c r="K103" s="30">
        <f t="shared" si="15"/>
        <v>6.7</v>
      </c>
    </row>
    <row r="104" spans="1:11" ht="18" customHeight="1" x14ac:dyDescent="0.25">
      <c r="A104" s="35">
        <v>3</v>
      </c>
      <c r="B104" s="29" t="s">
        <v>851</v>
      </c>
      <c r="C104" s="28">
        <v>3</v>
      </c>
      <c r="D104" s="28">
        <v>3</v>
      </c>
      <c r="E104" s="28">
        <v>3</v>
      </c>
      <c r="F104" s="28">
        <v>2</v>
      </c>
      <c r="G104" s="28">
        <f t="shared" si="12"/>
        <v>11</v>
      </c>
      <c r="H104" s="30">
        <f t="shared" si="13"/>
        <v>1</v>
      </c>
      <c r="I104" s="30">
        <f t="shared" si="14"/>
        <v>11</v>
      </c>
      <c r="J104" s="30">
        <v>20</v>
      </c>
      <c r="K104" s="30">
        <f t="shared" si="15"/>
        <v>6.1</v>
      </c>
    </row>
    <row r="105" spans="1:11" ht="18" customHeight="1" x14ac:dyDescent="0.25">
      <c r="A105" s="35">
        <v>3</v>
      </c>
      <c r="B105" s="29" t="s">
        <v>857</v>
      </c>
      <c r="C105" s="31">
        <v>3</v>
      </c>
      <c r="D105" s="31">
        <v>3</v>
      </c>
      <c r="E105" s="31">
        <v>2</v>
      </c>
      <c r="F105" s="31">
        <v>3</v>
      </c>
      <c r="G105" s="28">
        <f t="shared" si="12"/>
        <v>11</v>
      </c>
      <c r="H105" s="30">
        <f t="shared" si="13"/>
        <v>1</v>
      </c>
      <c r="I105" s="30">
        <f t="shared" si="14"/>
        <v>11</v>
      </c>
      <c r="J105" s="30">
        <v>20</v>
      </c>
      <c r="K105" s="30">
        <f t="shared" si="15"/>
        <v>6.1</v>
      </c>
    </row>
    <row r="106" spans="1:11" ht="18" customHeight="1" x14ac:dyDescent="0.25">
      <c r="A106" s="35">
        <v>3</v>
      </c>
      <c r="B106" s="29" t="s">
        <v>567</v>
      </c>
      <c r="C106" s="28">
        <v>3</v>
      </c>
      <c r="D106" s="28">
        <v>3</v>
      </c>
      <c r="E106" s="28">
        <v>2</v>
      </c>
      <c r="F106" s="28">
        <v>3</v>
      </c>
      <c r="G106" s="28">
        <f t="shared" si="12"/>
        <v>11</v>
      </c>
      <c r="H106" s="30">
        <f t="shared" si="13"/>
        <v>1</v>
      </c>
      <c r="I106" s="30">
        <f t="shared" si="14"/>
        <v>11</v>
      </c>
      <c r="J106" s="30">
        <v>20</v>
      </c>
      <c r="K106" s="30">
        <f t="shared" si="15"/>
        <v>6.1</v>
      </c>
    </row>
    <row r="107" spans="1:11" ht="18" customHeight="1" x14ac:dyDescent="0.25">
      <c r="A107" s="35">
        <v>3</v>
      </c>
      <c r="B107" s="29" t="s">
        <v>569</v>
      </c>
      <c r="C107" s="31">
        <v>3</v>
      </c>
      <c r="D107" s="31">
        <v>3</v>
      </c>
      <c r="E107" s="31">
        <v>2</v>
      </c>
      <c r="F107" s="31">
        <v>2</v>
      </c>
      <c r="G107" s="28">
        <f t="shared" si="12"/>
        <v>10</v>
      </c>
      <c r="H107" s="30">
        <f t="shared" si="13"/>
        <v>1</v>
      </c>
      <c r="I107" s="30">
        <f t="shared" si="14"/>
        <v>10</v>
      </c>
      <c r="J107" s="30">
        <v>20</v>
      </c>
      <c r="K107" s="30">
        <f t="shared" si="15"/>
        <v>5.6</v>
      </c>
    </row>
    <row r="108" spans="1:11" ht="18" customHeight="1" x14ac:dyDescent="0.25">
      <c r="A108" s="35">
        <v>3</v>
      </c>
      <c r="B108" s="29" t="s">
        <v>507</v>
      </c>
      <c r="C108" s="31">
        <v>3</v>
      </c>
      <c r="D108" s="31">
        <v>2</v>
      </c>
      <c r="E108" s="31">
        <v>2</v>
      </c>
      <c r="F108" s="31">
        <v>3</v>
      </c>
      <c r="G108" s="28">
        <f t="shared" si="12"/>
        <v>10</v>
      </c>
      <c r="H108" s="30">
        <f t="shared" si="13"/>
        <v>1</v>
      </c>
      <c r="I108" s="30">
        <f t="shared" si="14"/>
        <v>10</v>
      </c>
      <c r="J108" s="30">
        <v>20</v>
      </c>
      <c r="K108" s="30">
        <f t="shared" si="15"/>
        <v>5.6</v>
      </c>
    </row>
    <row r="109" spans="1:11" ht="18" customHeight="1" x14ac:dyDescent="0.25">
      <c r="A109" s="35">
        <v>3</v>
      </c>
      <c r="B109" s="29" t="s">
        <v>867</v>
      </c>
      <c r="C109" s="28">
        <v>3</v>
      </c>
      <c r="D109" s="28">
        <v>2</v>
      </c>
      <c r="E109" s="28">
        <v>2</v>
      </c>
      <c r="F109" s="28">
        <v>3</v>
      </c>
      <c r="G109" s="28">
        <f t="shared" si="12"/>
        <v>10</v>
      </c>
      <c r="H109" s="30">
        <f t="shared" si="13"/>
        <v>1</v>
      </c>
      <c r="I109" s="30">
        <f t="shared" si="14"/>
        <v>10</v>
      </c>
      <c r="J109" s="30">
        <v>20</v>
      </c>
      <c r="K109" s="30">
        <f t="shared" si="15"/>
        <v>5.6</v>
      </c>
    </row>
    <row r="110" spans="1:11" ht="30" customHeight="1" x14ac:dyDescent="0.25">
      <c r="A110" s="38" t="s">
        <v>880</v>
      </c>
      <c r="B110" s="39"/>
      <c r="C110" s="39"/>
      <c r="D110" s="39"/>
      <c r="E110" s="39"/>
      <c r="F110" s="39"/>
      <c r="G110" s="39"/>
      <c r="H110" s="39"/>
      <c r="I110" s="39"/>
      <c r="J110" s="40"/>
      <c r="K110" s="37">
        <f>SUM(K86:K109)</f>
        <v>113.39999999999996</v>
      </c>
    </row>
  </sheetData>
  <mergeCells count="6">
    <mergeCell ref="A110:J110"/>
    <mergeCell ref="A5:K5"/>
    <mergeCell ref="A42:J42"/>
    <mergeCell ref="A43:K43"/>
    <mergeCell ref="A84:J84"/>
    <mergeCell ref="A85:K8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8926C-FFA8-462F-9692-C6CFC0EC4678}">
  <dimension ref="A4:E22"/>
  <sheetViews>
    <sheetView topLeftCell="A5" workbookViewId="0">
      <selection activeCell="E5" sqref="E5:E22"/>
    </sheetView>
  </sheetViews>
  <sheetFormatPr defaultRowHeight="15" x14ac:dyDescent="0.25"/>
  <cols>
    <col min="1" max="1" width="10.28515625" bestFit="1" customWidth="1"/>
    <col min="2" max="2" width="43.28515625" customWidth="1"/>
    <col min="3" max="3" width="29.140625" customWidth="1"/>
    <col min="4" max="4" width="22.7109375" customWidth="1"/>
    <col min="5" max="5" width="25.7109375" customWidth="1"/>
  </cols>
  <sheetData>
    <row r="4" spans="1:5" ht="26.25" customHeight="1" x14ac:dyDescent="0.25">
      <c r="A4" s="24" t="s">
        <v>808</v>
      </c>
      <c r="B4" s="24" t="s">
        <v>809</v>
      </c>
      <c r="C4" s="23" t="s">
        <v>810</v>
      </c>
      <c r="D4" s="24" t="s">
        <v>811</v>
      </c>
      <c r="E4" s="24" t="s">
        <v>812</v>
      </c>
    </row>
    <row r="5" spans="1:5" ht="30" customHeight="1" x14ac:dyDescent="0.25">
      <c r="A5" s="63" t="s">
        <v>813</v>
      </c>
      <c r="B5" s="22" t="s">
        <v>814</v>
      </c>
      <c r="C5" s="21">
        <v>1</v>
      </c>
      <c r="D5" s="63">
        <v>5</v>
      </c>
      <c r="E5" s="68">
        <v>20</v>
      </c>
    </row>
    <row r="6" spans="1:5" ht="30" customHeight="1" x14ac:dyDescent="0.25">
      <c r="A6" s="64"/>
      <c r="B6" s="22" t="s">
        <v>815</v>
      </c>
      <c r="C6" s="21">
        <v>2</v>
      </c>
      <c r="D6" s="64"/>
      <c r="E6" s="64"/>
    </row>
    <row r="7" spans="1:5" ht="30" customHeight="1" x14ac:dyDescent="0.25">
      <c r="A7" s="65"/>
      <c r="B7" s="22" t="s">
        <v>816</v>
      </c>
      <c r="C7" s="21">
        <v>2</v>
      </c>
      <c r="D7" s="65"/>
      <c r="E7" s="64"/>
    </row>
    <row r="8" spans="1:5" ht="30" x14ac:dyDescent="0.25">
      <c r="A8" s="63" t="s">
        <v>817</v>
      </c>
      <c r="B8" s="22" t="s">
        <v>818</v>
      </c>
      <c r="C8" s="21">
        <v>0</v>
      </c>
      <c r="D8" s="63">
        <v>2</v>
      </c>
      <c r="E8" s="64"/>
    </row>
    <row r="9" spans="1:5" ht="30" x14ac:dyDescent="0.25">
      <c r="A9" s="64"/>
      <c r="B9" s="22" t="s">
        <v>819</v>
      </c>
      <c r="C9" s="21">
        <v>1</v>
      </c>
      <c r="D9" s="66"/>
      <c r="E9" s="64"/>
    </row>
    <row r="10" spans="1:5" ht="30" customHeight="1" x14ac:dyDescent="0.25">
      <c r="A10" s="65"/>
      <c r="B10" s="22" t="s">
        <v>820</v>
      </c>
      <c r="C10" s="21">
        <v>1</v>
      </c>
      <c r="D10" s="67"/>
      <c r="E10" s="64"/>
    </row>
    <row r="11" spans="1:5" ht="30" x14ac:dyDescent="0.25">
      <c r="A11" s="63" t="s">
        <v>821</v>
      </c>
      <c r="B11" s="22" t="s">
        <v>822</v>
      </c>
      <c r="C11" s="21">
        <v>1</v>
      </c>
      <c r="D11" s="63">
        <v>3</v>
      </c>
      <c r="E11" s="64"/>
    </row>
    <row r="12" spans="1:5" ht="30" x14ac:dyDescent="0.25">
      <c r="A12" s="64"/>
      <c r="B12" s="22" t="s">
        <v>823</v>
      </c>
      <c r="C12" s="21">
        <v>1</v>
      </c>
      <c r="D12" s="66"/>
      <c r="E12" s="64"/>
    </row>
    <row r="13" spans="1:5" ht="30" x14ac:dyDescent="0.25">
      <c r="A13" s="65"/>
      <c r="B13" s="22" t="s">
        <v>824</v>
      </c>
      <c r="C13" s="21">
        <v>1</v>
      </c>
      <c r="D13" s="67"/>
      <c r="E13" s="64"/>
    </row>
    <row r="14" spans="1:5" ht="30" customHeight="1" x14ac:dyDescent="0.25">
      <c r="A14" s="63" t="s">
        <v>825</v>
      </c>
      <c r="B14" s="22" t="s">
        <v>826</v>
      </c>
      <c r="C14" s="21">
        <v>0</v>
      </c>
      <c r="D14" s="63">
        <v>3</v>
      </c>
      <c r="E14" s="64"/>
    </row>
    <row r="15" spans="1:5" ht="30" x14ac:dyDescent="0.25">
      <c r="A15" s="64"/>
      <c r="B15" s="22" t="s">
        <v>827</v>
      </c>
      <c r="C15" s="21">
        <v>1</v>
      </c>
      <c r="D15" s="66"/>
      <c r="E15" s="64"/>
    </row>
    <row r="16" spans="1:5" ht="30" x14ac:dyDescent="0.25">
      <c r="A16" s="65"/>
      <c r="B16" s="22" t="s">
        <v>828</v>
      </c>
      <c r="C16" s="21">
        <v>2</v>
      </c>
      <c r="D16" s="67"/>
      <c r="E16" s="64"/>
    </row>
    <row r="17" spans="1:5" ht="30" x14ac:dyDescent="0.25">
      <c r="A17" s="63" t="s">
        <v>829</v>
      </c>
      <c r="B17" s="22" t="s">
        <v>830</v>
      </c>
      <c r="C17" s="21">
        <v>2</v>
      </c>
      <c r="D17" s="63">
        <v>6</v>
      </c>
      <c r="E17" s="64"/>
    </row>
    <row r="18" spans="1:5" ht="30" x14ac:dyDescent="0.25">
      <c r="A18" s="64"/>
      <c r="B18" s="22" t="s">
        <v>831</v>
      </c>
      <c r="C18" s="21">
        <v>2</v>
      </c>
      <c r="D18" s="66"/>
      <c r="E18" s="64"/>
    </row>
    <row r="19" spans="1:5" ht="30" x14ac:dyDescent="0.25">
      <c r="A19" s="65"/>
      <c r="B19" s="22" t="s">
        <v>832</v>
      </c>
      <c r="C19" s="21">
        <v>2</v>
      </c>
      <c r="D19" s="67"/>
      <c r="E19" s="64"/>
    </row>
    <row r="20" spans="1:5" ht="30" x14ac:dyDescent="0.25">
      <c r="A20" s="63" t="s">
        <v>833</v>
      </c>
      <c r="B20" s="22" t="s">
        <v>834</v>
      </c>
      <c r="C20" s="21">
        <v>1</v>
      </c>
      <c r="D20" s="63">
        <v>1</v>
      </c>
      <c r="E20" s="64"/>
    </row>
    <row r="21" spans="1:5" ht="30" customHeight="1" x14ac:dyDescent="0.25">
      <c r="A21" s="64"/>
      <c r="B21" s="22" t="s">
        <v>835</v>
      </c>
      <c r="C21" s="21">
        <v>0</v>
      </c>
      <c r="D21" s="66"/>
      <c r="E21" s="64"/>
    </row>
    <row r="22" spans="1:5" ht="30" x14ac:dyDescent="0.25">
      <c r="A22" s="65"/>
      <c r="B22" s="22" t="s">
        <v>836</v>
      </c>
      <c r="C22" s="21">
        <v>0</v>
      </c>
      <c r="D22" s="67"/>
      <c r="E22" s="65"/>
    </row>
  </sheetData>
  <mergeCells count="13">
    <mergeCell ref="A20:A22"/>
    <mergeCell ref="D5:D7"/>
    <mergeCell ref="E5:E22"/>
    <mergeCell ref="D8:D10"/>
    <mergeCell ref="D11:D13"/>
    <mergeCell ref="D14:D16"/>
    <mergeCell ref="D17:D19"/>
    <mergeCell ref="D20:D22"/>
    <mergeCell ref="A11:A13"/>
    <mergeCell ref="A14:A16"/>
    <mergeCell ref="A8:A10"/>
    <mergeCell ref="A17:A19"/>
    <mergeCell ref="A5:A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2578125" defaultRowHeight="15" customHeight="1" x14ac:dyDescent="0.25"/>
  <cols>
    <col min="1" max="26" width="9" customWidth="1"/>
  </cols>
  <sheetData>
    <row r="1" spans="1:2" x14ac:dyDescent="0.25">
      <c r="A1" s="6" t="s">
        <v>97</v>
      </c>
    </row>
    <row r="3" spans="1:2" x14ac:dyDescent="0.25">
      <c r="A3" s="6" t="s">
        <v>98</v>
      </c>
    </row>
    <row r="5" spans="1:2" x14ac:dyDescent="0.25">
      <c r="A5" s="6" t="s">
        <v>99</v>
      </c>
    </row>
    <row r="7" spans="1:2" x14ac:dyDescent="0.25">
      <c r="A7" s="6" t="s">
        <v>100</v>
      </c>
    </row>
    <row r="8" spans="1:2" x14ac:dyDescent="0.25">
      <c r="A8" s="7"/>
    </row>
    <row r="9" spans="1:2" x14ac:dyDescent="0.25">
      <c r="B9" s="8" t="s">
        <v>101</v>
      </c>
    </row>
    <row r="10" spans="1:2" x14ac:dyDescent="0.25">
      <c r="B10" s="7"/>
    </row>
    <row r="11" spans="1:2" x14ac:dyDescent="0.25">
      <c r="B11" s="8" t="s">
        <v>102</v>
      </c>
    </row>
    <row r="12" spans="1:2" x14ac:dyDescent="0.25">
      <c r="B12" s="7"/>
    </row>
    <row r="13" spans="1:2" x14ac:dyDescent="0.25">
      <c r="B13" s="8" t="s">
        <v>103</v>
      </c>
    </row>
    <row r="14" spans="1:2" x14ac:dyDescent="0.25">
      <c r="B14" s="7"/>
    </row>
    <row r="15" spans="1:2" x14ac:dyDescent="0.25">
      <c r="B15" s="8" t="s">
        <v>104</v>
      </c>
    </row>
    <row r="16" spans="1:2" x14ac:dyDescent="0.25">
      <c r="B16" s="7"/>
    </row>
    <row r="17" spans="1:2" x14ac:dyDescent="0.25">
      <c r="B17" s="8" t="s">
        <v>105</v>
      </c>
    </row>
    <row r="20" spans="1:2" x14ac:dyDescent="0.25">
      <c r="A20" s="6" t="s">
        <v>106</v>
      </c>
    </row>
    <row r="21" spans="1:2" ht="15.75" customHeight="1" x14ac:dyDescent="0.25">
      <c r="A21" s="7"/>
    </row>
    <row r="22" spans="1:2" ht="15.75" customHeight="1" x14ac:dyDescent="0.25">
      <c r="B22" s="8" t="s">
        <v>13</v>
      </c>
    </row>
    <row r="23" spans="1:2" ht="15.75" customHeight="1" x14ac:dyDescent="0.25">
      <c r="B23" s="7"/>
    </row>
    <row r="24" spans="1:2" ht="15.75" customHeight="1" x14ac:dyDescent="0.25">
      <c r="B24" s="9" t="s">
        <v>107</v>
      </c>
    </row>
    <row r="25" spans="1:2" ht="15.75" customHeight="1" x14ac:dyDescent="0.25">
      <c r="B25" s="7"/>
    </row>
    <row r="26" spans="1:2" ht="15.75" customHeight="1" x14ac:dyDescent="0.25">
      <c r="B26" s="9" t="s">
        <v>108</v>
      </c>
    </row>
    <row r="27" spans="1:2" ht="15.75" customHeight="1" x14ac:dyDescent="0.25">
      <c r="B27" s="7"/>
    </row>
    <row r="28" spans="1:2" ht="15.75" customHeight="1" x14ac:dyDescent="0.25">
      <c r="B28" s="8" t="s">
        <v>109</v>
      </c>
    </row>
    <row r="29" spans="1:2" ht="15.75" customHeight="1" x14ac:dyDescent="0.25">
      <c r="B29" s="7"/>
    </row>
    <row r="30" spans="1:2" ht="15.75" customHeight="1" x14ac:dyDescent="0.25">
      <c r="B30" s="9" t="s">
        <v>110</v>
      </c>
    </row>
    <row r="31" spans="1:2" ht="15.75" customHeight="1" x14ac:dyDescent="0.25">
      <c r="B31" s="7"/>
    </row>
    <row r="32" spans="1:2" ht="15.75" customHeight="1" x14ac:dyDescent="0.25">
      <c r="B32" s="9" t="s">
        <v>111</v>
      </c>
    </row>
    <row r="33" spans="1:2" ht="15.75" customHeight="1" x14ac:dyDescent="0.25">
      <c r="B33" s="7"/>
    </row>
    <row r="34" spans="1:2" ht="15.75" customHeight="1" x14ac:dyDescent="0.25">
      <c r="B34" s="9" t="s">
        <v>112</v>
      </c>
    </row>
    <row r="35" spans="1:2" ht="15.75" customHeight="1" x14ac:dyDescent="0.25">
      <c r="B35" s="7"/>
    </row>
    <row r="36" spans="1:2" ht="15.75" customHeight="1" x14ac:dyDescent="0.25">
      <c r="B36" s="9" t="s">
        <v>113</v>
      </c>
    </row>
    <row r="37" spans="1:2" ht="15.75" customHeight="1" x14ac:dyDescent="0.25">
      <c r="B37" s="7"/>
    </row>
    <row r="38" spans="1:2" ht="15.75" customHeight="1" x14ac:dyDescent="0.25">
      <c r="B38" s="9" t="s">
        <v>114</v>
      </c>
    </row>
    <row r="39" spans="1:2" ht="15.75" customHeight="1" x14ac:dyDescent="0.25">
      <c r="B39" s="7"/>
    </row>
    <row r="40" spans="1:2" ht="15.75" customHeight="1" x14ac:dyDescent="0.25">
      <c r="B40" s="9" t="s">
        <v>115</v>
      </c>
    </row>
    <row r="41" spans="1:2" ht="15.75" customHeight="1" x14ac:dyDescent="0.25"/>
    <row r="42" spans="1:2" ht="15.75" customHeight="1" x14ac:dyDescent="0.25"/>
    <row r="43" spans="1:2" ht="15.75" customHeight="1" x14ac:dyDescent="0.25">
      <c r="A43" s="6" t="s">
        <v>116</v>
      </c>
    </row>
    <row r="44" spans="1:2" ht="15.75" customHeight="1" x14ac:dyDescent="0.25"/>
    <row r="45" spans="1:2" ht="15.75" customHeight="1" x14ac:dyDescent="0.25">
      <c r="A45" s="6" t="s">
        <v>117</v>
      </c>
    </row>
    <row r="46" spans="1:2" ht="15.75" customHeight="1" x14ac:dyDescent="0.25"/>
    <row r="47" spans="1:2" ht="15.75" customHeight="1" x14ac:dyDescent="0.25">
      <c r="A47" s="6" t="s">
        <v>118</v>
      </c>
    </row>
    <row r="48" spans="1:2" ht="15.75" customHeight="1" x14ac:dyDescent="0.25"/>
    <row r="49" spans="1:1" ht="15.75" customHeight="1" x14ac:dyDescent="0.25">
      <c r="A49" s="6" t="s">
        <v>119</v>
      </c>
    </row>
    <row r="50" spans="1:1" ht="15.75" customHeight="1" x14ac:dyDescent="0.25"/>
    <row r="51" spans="1:1" ht="15.75" customHeight="1" x14ac:dyDescent="0.25">
      <c r="A51" s="6" t="s">
        <v>120</v>
      </c>
    </row>
    <row r="52" spans="1:1" ht="15.75" customHeight="1" x14ac:dyDescent="0.25"/>
    <row r="53" spans="1:1" ht="15.75" customHeight="1" x14ac:dyDescent="0.25">
      <c r="A53" s="6" t="s">
        <v>121</v>
      </c>
    </row>
    <row r="54" spans="1:1" ht="15.75" customHeight="1" x14ac:dyDescent="0.25">
      <c r="A54" s="10"/>
    </row>
    <row r="55" spans="1:1" ht="15.75" customHeight="1" x14ac:dyDescent="0.25">
      <c r="A55" s="10" t="s">
        <v>122</v>
      </c>
    </row>
    <row r="56" spans="1:1" ht="15.75" customHeight="1" x14ac:dyDescent="0.25"/>
    <row r="57" spans="1:1" ht="15.75" customHeight="1" x14ac:dyDescent="0.25"/>
    <row r="58" spans="1:1" ht="15.75" customHeight="1" x14ac:dyDescent="0.25"/>
    <row r="59" spans="1:1" ht="15.75" customHeight="1" x14ac:dyDescent="0.25"/>
    <row r="60" spans="1:1" ht="15.75" customHeight="1" x14ac:dyDescent="0.25"/>
    <row r="61" spans="1:1" ht="15.75" customHeight="1" x14ac:dyDescent="0.25"/>
    <row r="62" spans="1:1" ht="15.75" customHeight="1" x14ac:dyDescent="0.25"/>
    <row r="63" spans="1:1" ht="15.75" customHeight="1" x14ac:dyDescent="0.25"/>
    <row r="64" spans="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Sprint Backlog</vt:lpstr>
      <vt:lpstr>Release Backlog</vt:lpstr>
      <vt:lpstr>Product Backlog</vt:lpstr>
      <vt:lpstr>PPS</vt:lpstr>
      <vt:lpstr>ED</vt:lpstr>
      <vt:lpstr>RULE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Miyuki Soga</cp:lastModifiedBy>
  <dcterms:created xsi:type="dcterms:W3CDTF">2006-09-16T00:00:00Z</dcterms:created>
  <dcterms:modified xsi:type="dcterms:W3CDTF">2026-06-03T06:24:32Z</dcterms:modified>
</cp:coreProperties>
</file>